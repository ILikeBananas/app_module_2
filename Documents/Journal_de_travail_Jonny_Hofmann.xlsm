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slicers/slicer1.xml" ContentType="application/vnd.ms-excel.slicer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filterPrivacy="1" codeName="ThisWorkbook"/>
  <xr:revisionPtr revIDLastSave="0" documentId="13_ncr:1_{D1B9E5A5-6BF1-406F-B20F-B2CC11E41786}" xr6:coauthVersionLast="44" xr6:coauthVersionMax="44" xr10:uidLastSave="{00000000-0000-0000-0000-000000000000}"/>
  <bookViews>
    <workbookView xWindow="-120" yWindow="-120" windowWidth="24240" windowHeight="13140" xr2:uid="{00000000-000D-0000-FFFF-FFFF00000000}"/>
  </bookViews>
  <sheets>
    <sheet name="Saisie" sheetId="3" r:id="rId1"/>
    <sheet name="Journal" sheetId="5" r:id="rId2"/>
    <sheet name="Graphiques" sheetId="4" r:id="rId3"/>
    <sheet name="Configurations" sheetId="2" r:id="rId4"/>
    <sheet name="TCD_Gra_Tâches" sheetId="6" state="hidden" r:id="rId5"/>
    <sheet name="TCD_Gra_Activités" sheetId="8" state="hidden" r:id="rId6"/>
    <sheet name="TCD_Absences" sheetId="9" state="hidden" r:id="rId7"/>
  </sheets>
  <definedNames>
    <definedName name="Activités">Configurations!$G$19:$G$34</definedName>
    <definedName name="Divers">Configurations!$P$39:$P$58</definedName>
    <definedName name="_xlnm.Print_Titles" localSheetId="1">Journal!$C:$F,Journal!$4:$8</definedName>
    <definedName name="Laboratoire">Configurations!$C$39:$C$58</definedName>
    <definedName name="MAT_01">Configurations!$J$39:$J$58</definedName>
    <definedName name="MAT_02">Configurations!$K$39:$K$58</definedName>
    <definedName name="MAT_02fff">Configurations!$K$39:$K$58</definedName>
    <definedName name="MAT_03">Configurations!$L$39:$L$58</definedName>
    <definedName name="MAT_04">Configurations!$M$39:$M$58</definedName>
    <definedName name="MAT_05">Configurations!$N$39:$N$58</definedName>
    <definedName name="MAT_06">Configurations!$O$39:$O$58</definedName>
    <definedName name="Matières">Configurations!$E$19:$E$34</definedName>
    <definedName name="Module_0">Configurations!$C$39:$C$58</definedName>
    <definedName name="Module_1">Configurations!$D$39:$D$58</definedName>
    <definedName name="Module_2">Configurations!$E$39:$E$58</definedName>
    <definedName name="Module_3">Configurations!$F$39:$F$58</definedName>
    <definedName name="Module_4">Configurations!$G$39:$G$58</definedName>
    <definedName name="Module_5">Configurations!$H$39:$H$58</definedName>
    <definedName name="Module_6">Configurations!$I$39:$I$58</definedName>
    <definedName name="Nom">Configurations!$E$4</definedName>
    <definedName name="Portes_ouvertes">Configurations!$Q$39:$Q$58</definedName>
    <definedName name="Prénom">Configurations!$E$5</definedName>
    <definedName name="Satge_BAT">Configurations!$O$39:$O$58</definedName>
    <definedName name="Segment_Activité">#N/A</definedName>
    <definedName name="Segment_Matière">#N/A</definedName>
    <definedName name="Segment_Tâche">#N/A</definedName>
    <definedName name="Segment_Type">#N/A</definedName>
    <definedName name="Stage">Configurations!$O$39:$O$58</definedName>
    <definedName name="Stage_BAT">Configurations!$O$39:$O$58</definedName>
    <definedName name="Type_heure">Configurations!$C$19:$C$34</definedName>
    <definedName name="_xlnm.Print_Area" localSheetId="2">Graphiques!$B$1:$I$87</definedName>
    <definedName name="_xlnm.Print_Area" localSheetId="1">Journal!$B$1:$H$58</definedName>
    <definedName name="_xlnm.Print_Area" localSheetId="0">Saisie!$B$1:$J$146</definedName>
  </definedNames>
  <calcPr calcId="191028"/>
  <pivotCaches>
    <pivotCache cacheId="51" r:id="rId8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46BE6895-7355-4a93-B00E-2C351335B9C9}">
      <x15:slicerCaches xmlns:x14="http://schemas.microsoft.com/office/spreadsheetml/2009/9/main">
        <x14:slicerCache r:id="rId9"/>
        <x14:slicerCache r:id="rId10"/>
        <x14:slicerCache r:id="rId11"/>
        <x14:slicerCache r:id="rId12"/>
      </x15:slicerCaches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I61" i="4" l="1"/>
  <c r="G61" i="4"/>
  <c r="I59" i="4"/>
  <c r="Q38" i="2"/>
  <c r="I30" i="4"/>
  <c r="I1" i="4"/>
  <c r="G1" i="5"/>
  <c r="F1" i="5"/>
  <c r="G32" i="4"/>
  <c r="I32" i="4"/>
  <c r="I3" i="4"/>
  <c r="G3" i="4"/>
  <c r="J1" i="3"/>
  <c r="P38" i="2"/>
  <c r="O38" i="2"/>
  <c r="N38" i="2"/>
  <c r="M38" i="2"/>
  <c r="L38" i="2"/>
  <c r="K38" i="2"/>
  <c r="J38" i="2"/>
  <c r="I38" i="2"/>
  <c r="H38" i="2"/>
  <c r="G38" i="2"/>
  <c r="F38" i="2"/>
  <c r="E38" i="2"/>
  <c r="D38" i="2"/>
  <c r="C38" i="2"/>
</calcChain>
</file>

<file path=xl/sharedStrings.xml><?xml version="1.0" encoding="utf-8"?>
<sst xmlns="http://schemas.openxmlformats.org/spreadsheetml/2006/main" count="148" uniqueCount="93">
  <si>
    <t>Saisie journal de travail-EST</t>
  </si>
  <si>
    <t>Date</t>
  </si>
  <si>
    <t>Type</t>
  </si>
  <si>
    <t>Début</t>
  </si>
  <si>
    <t>Fin</t>
  </si>
  <si>
    <t>Matière</t>
  </si>
  <si>
    <t>Tâche</t>
  </si>
  <si>
    <t>Activité</t>
  </si>
  <si>
    <t>Détail</t>
  </si>
  <si>
    <t>Laboratoire</t>
  </si>
  <si>
    <t>Recherche</t>
  </si>
  <si>
    <t>Documentation</t>
  </si>
  <si>
    <t>Malade</t>
  </si>
  <si>
    <t>Total</t>
  </si>
  <si>
    <t xml:space="preserve">Journal de travail </t>
  </si>
  <si>
    <t>(Plusieurs éléments)</t>
  </si>
  <si>
    <t>(Tous)</t>
  </si>
  <si>
    <t>Mois</t>
  </si>
  <si>
    <t>NB_heures</t>
  </si>
  <si>
    <t>Total général</t>
  </si>
  <si>
    <t>Graphiques</t>
  </si>
  <si>
    <t>Répartitions temps matières:</t>
  </si>
  <si>
    <t>Répartitions temps /activités :</t>
  </si>
  <si>
    <t>Absences</t>
  </si>
  <si>
    <t>Configurations</t>
  </si>
  <si>
    <t>Identifiant</t>
  </si>
  <si>
    <t>Nom</t>
  </si>
  <si>
    <t>Hofmann</t>
  </si>
  <si>
    <t>Prénom</t>
  </si>
  <si>
    <t>Jonny</t>
  </si>
  <si>
    <t>Année</t>
  </si>
  <si>
    <t>Validation dates</t>
  </si>
  <si>
    <t>Listes</t>
  </si>
  <si>
    <t>Type d'heure</t>
  </si>
  <si>
    <t>Activités</t>
  </si>
  <si>
    <t>Installation</t>
  </si>
  <si>
    <t>Module_2</t>
  </si>
  <si>
    <t>Configuration</t>
  </si>
  <si>
    <t>Tests</t>
  </si>
  <si>
    <t>Séance</t>
  </si>
  <si>
    <t>Evaluation</t>
  </si>
  <si>
    <t>Autre</t>
  </si>
  <si>
    <t>Portes ouvertes</t>
  </si>
  <si>
    <t>Retard</t>
  </si>
  <si>
    <t>Taches/Matière</t>
  </si>
  <si>
    <t>Serveur</t>
  </si>
  <si>
    <t>mikro en C</t>
  </si>
  <si>
    <t>Client</t>
  </si>
  <si>
    <t>Réseau</t>
  </si>
  <si>
    <t>AD</t>
  </si>
  <si>
    <t>DHCP</t>
  </si>
  <si>
    <t>DNS</t>
  </si>
  <si>
    <t>WIFI</t>
  </si>
  <si>
    <t>NAS</t>
  </si>
  <si>
    <t>Partages</t>
  </si>
  <si>
    <t>Droits</t>
  </si>
  <si>
    <t>Sauvegarde</t>
  </si>
  <si>
    <t>Onduleur</t>
  </si>
  <si>
    <t>DFS</t>
  </si>
  <si>
    <t>Intro module</t>
  </si>
  <si>
    <t>Autres</t>
  </si>
  <si>
    <t>Matériel</t>
  </si>
  <si>
    <t>Mat. &amp; Com.</t>
  </si>
  <si>
    <t>Système</t>
  </si>
  <si>
    <t>Absent</t>
  </si>
  <si>
    <t>Total/taches</t>
  </si>
  <si>
    <t>(vide)</t>
  </si>
  <si>
    <t>Somme de Total</t>
  </si>
  <si>
    <t>Taches</t>
  </si>
  <si>
    <t>Total_Absences</t>
  </si>
  <si>
    <t>Programmation automate</t>
  </si>
  <si>
    <t>Programmation C#</t>
  </si>
  <si>
    <t>Base de donnée</t>
  </si>
  <si>
    <t>Planification</t>
  </si>
  <si>
    <t>Intégration processus</t>
  </si>
  <si>
    <t>Informatique</t>
  </si>
  <si>
    <t>Maison</t>
  </si>
  <si>
    <t>Cahier des charges</t>
  </si>
  <si>
    <t>Documentation technique</t>
  </si>
  <si>
    <t>Rapport technique</t>
  </si>
  <si>
    <t>Défense</t>
  </si>
  <si>
    <t>Communication avec la BD</t>
  </si>
  <si>
    <t>Lecture depuis la BD</t>
  </si>
  <si>
    <t>Ecriture vers la BD</t>
  </si>
  <si>
    <t>Tests et dépannages</t>
  </si>
  <si>
    <t>Communication BD</t>
  </si>
  <si>
    <t>Création interface graphique</t>
  </si>
  <si>
    <t>Éditeur de recette</t>
  </si>
  <si>
    <t>Éditeur de lots</t>
  </si>
  <si>
    <t>Traçabilité des lots</t>
  </si>
  <si>
    <t>Programmation divers</t>
  </si>
  <si>
    <t>Analyse des besoins</t>
  </si>
  <si>
    <t>Création de la base de données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</si>
</sst>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164" formatCode="[$-F800]dddd\,\ mmmm\ dd\,\ yyyy"/>
    <numFmt numFmtId="165" formatCode="hh\.mm&quot; h&quot;;@"/>
    <numFmt numFmtId="166" formatCode="#;;"/>
    <numFmt numFmtId="167" formatCode="dd\.mm\.yyyy;@"/>
    <numFmt numFmtId="168" formatCode="[hh]/mm&quot; h&quot;;;"/>
  </numFmts>
  <fonts count="16" x14ac:knownFonts="1">
    <font>
      <sz val="9"/>
      <color theme="1" tint="0.499984740745262"/>
      <name val="Century Gothic"/>
      <family val="2"/>
      <scheme val="major"/>
    </font>
    <font>
      <sz val="28"/>
      <color theme="0" tint="-0.24994659260841701"/>
      <name val="Century Gothic"/>
      <family val="2"/>
      <scheme val="major"/>
    </font>
    <font>
      <b/>
      <sz val="11"/>
      <color theme="1" tint="0.34998626667073579"/>
      <name val="Century Gothic"/>
      <family val="2"/>
      <scheme val="minor"/>
    </font>
    <font>
      <sz val="9"/>
      <color theme="1"/>
      <name val="Century Gothic"/>
      <family val="2"/>
      <scheme val="major"/>
    </font>
    <font>
      <b/>
      <sz val="9"/>
      <color theme="1"/>
      <name val="Century Gothic"/>
      <family val="2"/>
      <scheme val="major"/>
    </font>
    <font>
      <b/>
      <sz val="9"/>
      <color theme="1" tint="0.499984740745262"/>
      <name val="Century Gothic"/>
      <family val="2"/>
      <scheme val="major"/>
    </font>
    <font>
      <sz val="28"/>
      <color theme="1" tint="0.499984740745262"/>
      <name val="Century Gothic"/>
      <family val="2"/>
      <scheme val="major"/>
    </font>
    <font>
      <sz val="36"/>
      <color theme="1" tint="0.499984740745262"/>
      <name val="Century Gothic"/>
      <family val="2"/>
      <scheme val="major"/>
    </font>
    <font>
      <sz val="12"/>
      <color theme="1" tint="0.499984740745262"/>
      <name val="Century Gothic"/>
      <family val="2"/>
      <scheme val="major"/>
    </font>
    <font>
      <sz val="22"/>
      <color theme="1" tint="0.499984740745262"/>
      <name val="Century Gothic"/>
      <family val="2"/>
      <scheme val="major"/>
    </font>
    <font>
      <sz val="10"/>
      <color theme="1" tint="0.499984740745262"/>
      <name val="Century Gothic"/>
      <family val="2"/>
      <scheme val="major"/>
    </font>
    <font>
      <sz val="14"/>
      <color theme="1" tint="0.499984740745262"/>
      <name val="Century Gothic"/>
      <family val="2"/>
      <scheme val="major"/>
    </font>
    <font>
      <sz val="18"/>
      <color theme="1" tint="0.499984740745262"/>
      <name val="Century Gothic"/>
      <family val="2"/>
      <scheme val="major"/>
    </font>
    <font>
      <sz val="8"/>
      <color theme="1" tint="0.499984740745262"/>
      <name val="Century Gothic"/>
      <family val="2"/>
      <scheme val="major"/>
    </font>
    <font>
      <sz val="9"/>
      <color theme="1"/>
      <name val="Century Gothic"/>
      <scheme val="major"/>
    </font>
    <font>
      <b/>
      <sz val="9"/>
      <color theme="1"/>
      <name val="Century Gothic"/>
      <scheme val="major"/>
    </font>
  </fonts>
  <fills count="3">
    <fill>
      <patternFill patternType="none"/>
    </fill>
    <fill>
      <patternFill patternType="gray125"/>
    </fill>
    <fill>
      <patternFill patternType="solid">
        <fgColor theme="1" tint="0.249977111117893"/>
        <bgColor indexed="64"/>
      </patternFill>
    </fill>
  </fills>
  <borders count="17">
    <border>
      <left/>
      <right/>
      <top/>
      <bottom/>
      <diagonal/>
    </border>
    <border>
      <left/>
      <right/>
      <top/>
      <bottom style="double">
        <color theme="0" tint="-0.14996795556505021"/>
      </bottom>
      <diagonal/>
    </border>
    <border>
      <left style="thick">
        <color theme="0"/>
      </left>
      <right style="thick">
        <color theme="0"/>
      </right>
      <top style="thick">
        <color theme="0"/>
      </top>
      <bottom style="thick">
        <color theme="0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/>
      <top style="thick">
        <color theme="8"/>
      </top>
      <bottom/>
      <diagonal/>
    </border>
    <border>
      <left style="thick">
        <color theme="0"/>
      </left>
      <right style="thick">
        <color theme="0"/>
      </right>
      <top style="thick">
        <color theme="8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 style="thick">
        <color theme="0"/>
      </left>
      <right/>
      <top/>
      <bottom style="thick">
        <color theme="8"/>
      </bottom>
      <diagonal/>
    </border>
    <border>
      <left/>
      <right style="thick">
        <color theme="0"/>
      </right>
      <top/>
      <bottom style="thick">
        <color theme="8"/>
      </bottom>
      <diagonal/>
    </border>
    <border>
      <left style="thick">
        <color theme="0"/>
      </left>
      <right style="thick">
        <color theme="0"/>
      </right>
      <top style="thick">
        <color theme="0"/>
      </top>
      <bottom style="medium">
        <color rgb="FF92D050"/>
      </bottom>
      <diagonal/>
    </border>
    <border>
      <left style="thick">
        <color theme="0"/>
      </left>
      <right/>
      <top style="thick">
        <color theme="4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 style="thick">
        <color theme="0"/>
      </bottom>
      <diagonal/>
    </border>
    <border>
      <left/>
      <right/>
      <top style="medium">
        <color rgb="FF92D050"/>
      </top>
      <bottom/>
      <diagonal/>
    </border>
  </borders>
  <cellStyleXfs count="3">
    <xf numFmtId="0" fontId="0" fillId="0" borderId="0">
      <alignment vertical="center"/>
    </xf>
    <xf numFmtId="0" fontId="1" fillId="0" borderId="1" applyNumberFormat="0" applyProtection="0">
      <alignment vertical="center"/>
    </xf>
    <xf numFmtId="0" fontId="2" fillId="0" borderId="0" applyNumberFormat="0" applyFill="0" applyAlignment="0" applyProtection="0"/>
  </cellStyleXfs>
  <cellXfs count="89">
    <xf numFmtId="0" fontId="0" fillId="0" borderId="0" xfId="0">
      <alignment vertical="center"/>
    </xf>
    <xf numFmtId="0" fontId="1" fillId="0" borderId="1" xfId="1">
      <alignment vertical="center"/>
    </xf>
    <xf numFmtId="0" fontId="0" fillId="0" borderId="0" xfId="0" applyAlignment="1">
      <alignment wrapText="1"/>
    </xf>
    <xf numFmtId="0" fontId="0" fillId="2" borderId="0" xfId="0" applyFill="1">
      <alignment vertical="center"/>
    </xf>
    <xf numFmtId="0" fontId="0" fillId="2" borderId="0" xfId="0" applyFill="1" applyAlignment="1"/>
    <xf numFmtId="0" fontId="0" fillId="0" borderId="0" xfId="0" applyAlignment="1"/>
    <xf numFmtId="0" fontId="3" fillId="2" borderId="0" xfId="0" applyFont="1" applyFill="1">
      <alignment vertical="center"/>
    </xf>
    <xf numFmtId="0" fontId="0" fillId="0" borderId="0" xfId="0" applyAlignment="1">
      <alignment horizontal="center" vertical="center"/>
    </xf>
    <xf numFmtId="0" fontId="5" fillId="0" borderId="0" xfId="0" applyFont="1" applyAlignment="1">
      <alignment wrapText="1"/>
    </xf>
    <xf numFmtId="0" fontId="0" fillId="0" borderId="0" xfId="0" applyAlignment="1">
      <alignment horizontal="left" vertical="center"/>
    </xf>
    <xf numFmtId="0" fontId="0" fillId="0" borderId="4" xfId="0" applyBorder="1">
      <alignment vertical="center"/>
    </xf>
    <xf numFmtId="0" fontId="0" fillId="0" borderId="5" xfId="0" applyBorder="1" applyAlignment="1">
      <alignment horizontal="right" vertical="center" indent="3"/>
    </xf>
    <xf numFmtId="0" fontId="0" fillId="0" borderId="4" xfId="0" applyBorder="1" applyAlignment="1">
      <alignment wrapText="1"/>
    </xf>
    <xf numFmtId="0" fontId="2" fillId="0" borderId="4" xfId="2" applyBorder="1" applyAlignment="1">
      <alignment horizontal="left" wrapText="1"/>
    </xf>
    <xf numFmtId="0" fontId="0" fillId="0" borderId="6" xfId="0" applyBorder="1" applyAlignment="1">
      <alignment horizontal="left" vertical="center"/>
    </xf>
    <xf numFmtId="0" fontId="0" fillId="0" borderId="8" xfId="0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0" fontId="2" fillId="0" borderId="5" xfId="2" applyBorder="1" applyAlignment="1">
      <alignment wrapText="1"/>
    </xf>
    <xf numFmtId="0" fontId="5" fillId="0" borderId="7" xfId="0" applyFont="1" applyBorder="1" applyAlignment="1">
      <alignment wrapText="1"/>
    </xf>
    <xf numFmtId="0" fontId="5" fillId="0" borderId="5" xfId="0" applyFont="1" applyBorder="1" applyAlignment="1">
      <alignment wrapText="1"/>
    </xf>
    <xf numFmtId="0" fontId="0" fillId="0" borderId="5" xfId="0" applyBorder="1" applyAlignment="1">
      <alignment wrapText="1"/>
    </xf>
    <xf numFmtId="0" fontId="0" fillId="0" borderId="9" xfId="0" applyBorder="1" applyAlignment="1">
      <alignment wrapText="1"/>
    </xf>
    <xf numFmtId="166" fontId="0" fillId="0" borderId="12" xfId="0" applyNumberFormat="1" applyBorder="1" applyAlignment="1">
      <alignment wrapText="1"/>
    </xf>
    <xf numFmtId="0" fontId="3" fillId="0" borderId="0" xfId="0" applyFont="1">
      <alignment vertical="center"/>
    </xf>
    <xf numFmtId="0" fontId="5" fillId="0" borderId="8" xfId="0" applyFont="1" applyBorder="1" applyAlignment="1">
      <alignment wrapText="1"/>
    </xf>
    <xf numFmtId="0" fontId="0" fillId="0" borderId="0" xfId="0" applyAlignment="1">
      <alignment horizontal="right" vertical="center"/>
    </xf>
    <xf numFmtId="14" fontId="0" fillId="0" borderId="0" xfId="0" applyNumberFormat="1" applyAlignment="1">
      <alignment horizontal="right" vertical="center"/>
    </xf>
    <xf numFmtId="0" fontId="3" fillId="0" borderId="13" xfId="0" applyFont="1" applyBorder="1" applyAlignment="1">
      <alignment horizontal="left" vertical="center"/>
    </xf>
    <xf numFmtId="165" fontId="3" fillId="0" borderId="13" xfId="0" applyNumberFormat="1" applyFont="1" applyBorder="1" applyAlignment="1">
      <alignment horizontal="center" vertical="center" wrapText="1"/>
    </xf>
    <xf numFmtId="14" fontId="3" fillId="0" borderId="13" xfId="0" applyNumberFormat="1" applyFont="1" applyBorder="1" applyAlignment="1">
      <alignment horizontal="left" vertical="center"/>
    </xf>
    <xf numFmtId="0" fontId="3" fillId="0" borderId="4" xfId="0" applyFont="1" applyBorder="1" applyAlignment="1">
      <alignment horizontal="left" vertical="center"/>
    </xf>
    <xf numFmtId="165" fontId="3" fillId="0" borderId="4" xfId="0" applyNumberFormat="1" applyFont="1" applyBorder="1" applyAlignment="1">
      <alignment horizontal="center" vertical="center" wrapText="1"/>
    </xf>
    <xf numFmtId="0" fontId="3" fillId="0" borderId="4" xfId="0" applyFont="1" applyBorder="1" applyAlignment="1">
      <alignment horizontal="left" vertical="center" wrapText="1"/>
    </xf>
    <xf numFmtId="164" fontId="4" fillId="0" borderId="14" xfId="0" applyNumberFormat="1" applyFont="1" applyBorder="1" applyAlignment="1">
      <alignment horizontal="left" vertical="center"/>
    </xf>
    <xf numFmtId="0" fontId="3" fillId="0" borderId="4" xfId="0" applyFont="1" applyBorder="1" applyAlignment="1">
      <alignment horizontal="left" vertical="top" wrapText="1"/>
    </xf>
    <xf numFmtId="0" fontId="2" fillId="0" borderId="0" xfId="2"/>
    <xf numFmtId="0" fontId="2" fillId="0" borderId="9" xfId="2" applyBorder="1" applyAlignment="1">
      <alignment horizontal="center"/>
    </xf>
    <xf numFmtId="0" fontId="2" fillId="0" borderId="9" xfId="2" applyBorder="1"/>
    <xf numFmtId="167" fontId="4" fillId="0" borderId="0" xfId="0" applyNumberFormat="1" applyFont="1" applyAlignment="1">
      <alignment horizontal="left"/>
    </xf>
    <xf numFmtId="14" fontId="3" fillId="0" borderId="9" xfId="0" applyNumberFormat="1" applyFont="1" applyBorder="1" applyAlignment="1">
      <alignment horizontal="left" vertical="center" wrapText="1"/>
    </xf>
    <xf numFmtId="0" fontId="3" fillId="0" borderId="14" xfId="0" applyFont="1" applyBorder="1" applyAlignment="1">
      <alignment horizontal="left" vertical="center"/>
    </xf>
    <xf numFmtId="164" fontId="4" fillId="0" borderId="0" xfId="0" applyNumberFormat="1" applyFont="1" applyAlignment="1">
      <alignment horizontal="left" vertical="center"/>
    </xf>
    <xf numFmtId="14" fontId="3" fillId="0" borderId="0" xfId="0" applyNumberFormat="1" applyFont="1" applyAlignment="1">
      <alignment horizontal="left" vertical="center"/>
    </xf>
    <xf numFmtId="0" fontId="7" fillId="0" borderId="0" xfId="0" applyFont="1" applyAlignment="1">
      <alignment horizontal="center" vertical="center"/>
    </xf>
    <xf numFmtId="0" fontId="7" fillId="0" borderId="0" xfId="0" applyFont="1">
      <alignment vertical="center"/>
    </xf>
    <xf numFmtId="0" fontId="6" fillId="0" borderId="0" xfId="0" applyFont="1" applyAlignment="1">
      <alignment horizontal="right" vertical="center"/>
    </xf>
    <xf numFmtId="0" fontId="0" fillId="0" borderId="0" xfId="0" pivotButton="1">
      <alignment vertical="center"/>
    </xf>
    <xf numFmtId="168" fontId="0" fillId="0" borderId="0" xfId="0" applyNumberFormat="1">
      <alignment vertical="center"/>
    </xf>
    <xf numFmtId="0" fontId="3" fillId="0" borderId="14" xfId="0" applyFont="1" applyBorder="1" applyAlignment="1">
      <alignment horizontal="left" vertical="center" wrapText="1"/>
    </xf>
    <xf numFmtId="0" fontId="3" fillId="0" borderId="0" xfId="0" applyFont="1" applyAlignment="1">
      <alignment horizontal="left" vertical="center"/>
    </xf>
    <xf numFmtId="0" fontId="0" fillId="0" borderId="0" xfId="0" pivotButton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10" fillId="0" borderId="0" xfId="0" applyFont="1">
      <alignment vertical="center"/>
    </xf>
    <xf numFmtId="0" fontId="12" fillId="0" borderId="3" xfId="0" applyFont="1" applyBorder="1" applyAlignment="1">
      <alignment horizontal="center" vertical="center"/>
    </xf>
    <xf numFmtId="0" fontId="9" fillId="0" borderId="3" xfId="0" applyFont="1" applyBorder="1" applyAlignment="1">
      <alignment horizontal="center" vertical="center"/>
    </xf>
    <xf numFmtId="0" fontId="9" fillId="0" borderId="0" xfId="0" applyFont="1">
      <alignment vertical="center"/>
    </xf>
    <xf numFmtId="0" fontId="9" fillId="0" borderId="0" xfId="0" applyFont="1" applyAlignment="1">
      <alignment horizontal="left" vertical="center"/>
    </xf>
    <xf numFmtId="0" fontId="9" fillId="0" borderId="0" xfId="0" applyFont="1" applyAlignment="1">
      <alignment horizontal="center" vertical="center"/>
    </xf>
    <xf numFmtId="0" fontId="8" fillId="0" borderId="0" xfId="0" applyFont="1" applyAlignment="1">
      <alignment horizontal="right" vertical="center"/>
    </xf>
    <xf numFmtId="0" fontId="9" fillId="0" borderId="3" xfId="0" applyFont="1" applyBorder="1">
      <alignment vertical="center"/>
    </xf>
    <xf numFmtId="0" fontId="10" fillId="0" borderId="0" xfId="0" pivotButton="1" applyFont="1">
      <alignment vertical="center"/>
    </xf>
    <xf numFmtId="0" fontId="13" fillId="0" borderId="0" xfId="0" applyFont="1" applyAlignment="1">
      <alignment wrapText="1"/>
    </xf>
    <xf numFmtId="0" fontId="13" fillId="0" borderId="16" xfId="0" applyFont="1" applyBorder="1" applyAlignment="1">
      <alignment wrapText="1"/>
    </xf>
    <xf numFmtId="0" fontId="13" fillId="0" borderId="15" xfId="0" applyFont="1" applyBorder="1" applyAlignment="1">
      <alignment wrapText="1"/>
    </xf>
    <xf numFmtId="0" fontId="13" fillId="0" borderId="5" xfId="0" applyFont="1" applyBorder="1" applyAlignment="1">
      <alignment wrapText="1"/>
    </xf>
    <xf numFmtId="0" fontId="13" fillId="0" borderId="0" xfId="0" applyFont="1">
      <alignment vertical="center"/>
    </xf>
    <xf numFmtId="0" fontId="13" fillId="0" borderId="4" xfId="0" applyFont="1" applyBorder="1" applyAlignment="1">
      <alignment wrapText="1"/>
    </xf>
    <xf numFmtId="0" fontId="13" fillId="0" borderId="2" xfId="0" applyFont="1" applyBorder="1" applyAlignment="1">
      <alignment wrapText="1"/>
    </xf>
    <xf numFmtId="0" fontId="13" fillId="0" borderId="9" xfId="0" applyFont="1" applyBorder="1" applyAlignment="1">
      <alignment wrapText="1"/>
    </xf>
    <xf numFmtId="0" fontId="13" fillId="0" borderId="4" xfId="0" applyFont="1" applyBorder="1">
      <alignment vertical="center"/>
    </xf>
    <xf numFmtId="0" fontId="11" fillId="0" borderId="3" xfId="0" applyFont="1" applyBorder="1" applyAlignment="1">
      <alignment horizontal="center" vertical="center" wrapText="1"/>
    </xf>
    <xf numFmtId="0" fontId="10" fillId="0" borderId="0" xfId="0" applyFont="1" applyAlignment="1">
      <alignment horizontal="center" vertical="center"/>
    </xf>
    <xf numFmtId="168" fontId="10" fillId="0" borderId="0" xfId="0" applyNumberFormat="1" applyFont="1" applyAlignment="1">
      <alignment horizontal="center" vertical="center"/>
    </xf>
    <xf numFmtId="0" fontId="7" fillId="0" borderId="3" xfId="0" applyFont="1" applyBorder="1" applyAlignment="1">
      <alignment horizontal="right" vertical="center"/>
    </xf>
    <xf numFmtId="164" fontId="10" fillId="0" borderId="0" xfId="0" pivotButton="1" applyNumberFormat="1" applyFont="1">
      <alignment vertical="center"/>
    </xf>
    <xf numFmtId="0" fontId="14" fillId="0" borderId="9" xfId="0" applyFont="1" applyBorder="1" applyAlignment="1">
      <alignment horizontal="left" vertical="center" wrapText="1"/>
    </xf>
    <xf numFmtId="0" fontId="14" fillId="0" borderId="4" xfId="0" applyFont="1" applyBorder="1" applyAlignment="1">
      <alignment horizontal="left" vertical="top" wrapText="1"/>
    </xf>
    <xf numFmtId="0" fontId="14" fillId="0" borderId="9" xfId="0" applyFont="1" applyBorder="1" applyAlignment="1">
      <alignment horizontal="left" vertical="top" wrapText="1"/>
    </xf>
    <xf numFmtId="0" fontId="15" fillId="0" borderId="0" xfId="0" applyFont="1" applyAlignment="1">
      <alignment horizontal="left"/>
    </xf>
    <xf numFmtId="0" fontId="14" fillId="0" borderId="9" xfId="0" applyFont="1" applyBorder="1" applyAlignment="1">
      <alignment horizontal="left" vertical="center"/>
    </xf>
    <xf numFmtId="0" fontId="14" fillId="0" borderId="9" xfId="0" applyFont="1" applyBorder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0" fontId="2" fillId="0" borderId="10" xfId="2" applyBorder="1" applyAlignment="1">
      <alignment horizontal="left" wrapText="1"/>
    </xf>
    <xf numFmtId="20" fontId="3" fillId="0" borderId="14" xfId="0" applyNumberFormat="1" applyFont="1" applyBorder="1" applyAlignment="1">
      <alignment horizontal="left" vertical="center"/>
    </xf>
    <xf numFmtId="0" fontId="7" fillId="0" borderId="3" xfId="0" applyFont="1" applyBorder="1" applyAlignment="1">
      <alignment horizontal="center" vertical="center"/>
    </xf>
    <xf numFmtId="0" fontId="9" fillId="0" borderId="3" xfId="0" applyFont="1" applyBorder="1" applyAlignment="1">
      <alignment horizontal="left" vertical="center"/>
    </xf>
    <xf numFmtId="0" fontId="5" fillId="0" borderId="0" xfId="0" applyFont="1" applyAlignment="1">
      <alignment horizontal="center" vertical="center" wrapText="1"/>
    </xf>
    <xf numFmtId="0" fontId="2" fillId="0" borderId="10" xfId="2" applyBorder="1" applyAlignment="1">
      <alignment horizontal="left" wrapText="1"/>
    </xf>
    <xf numFmtId="0" fontId="2" fillId="0" borderId="11" xfId="2" applyBorder="1" applyAlignment="1">
      <alignment horizontal="left" wrapText="1"/>
    </xf>
  </cellXfs>
  <cellStyles count="3">
    <cellStyle name="Normal" xfId="0" builtinId="0" customBuiltin="1"/>
    <cellStyle name="Titre 1" xfId="1" builtinId="16" customBuiltin="1"/>
    <cellStyle name="Titre 2" xfId="2" builtinId="17" customBuiltin="1"/>
  </cellStyles>
  <dxfs count="472"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entury Gothic"/>
        <scheme val="major"/>
      </font>
      <alignment horizontal="left" vertical="top" textRotation="0" wrapText="1" indent="0" justifyLastLine="0" shrinkToFit="0" readingOrder="0"/>
      <border diagonalUp="0" diagonalDown="0" outline="0">
        <left style="thick">
          <color theme="0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entury Gothic"/>
        <scheme val="major"/>
      </font>
      <alignment horizontal="left" vertical="center" textRotation="0" wrapText="1" indent="0" justifyLastLine="0" shrinkToFit="0" readingOrder="0"/>
      <border diagonalUp="0" diagonalDown="0" outline="0">
        <left style="thick">
          <color theme="0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entury Gothic"/>
        <scheme val="major"/>
      </font>
      <alignment horizontal="left" vertical="center" textRotation="0" wrapText="0" indent="0" justifyLastLine="0" shrinkToFit="0" readingOrder="0"/>
      <border diagonalUp="0" diagonalDown="0" outline="0">
        <left style="thick">
          <color theme="0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entury Gothic"/>
        <scheme val="major"/>
      </font>
      <alignment horizontal="left" vertical="center" textRotation="0" wrapText="1" indent="0" justifyLastLine="0" shrinkToFit="0" readingOrder="0"/>
      <border diagonalUp="0" diagonalDown="0" outline="0">
        <left style="thick">
          <color theme="0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entury Gothic"/>
        <scheme val="major"/>
      </font>
      <alignment horizontal="center" vertical="center" textRotation="0" wrapText="1" indent="0" justifyLastLine="0" shrinkToFit="0" readingOrder="0"/>
      <border diagonalUp="0" diagonalDown="0" outline="0">
        <left style="thick">
          <color theme="0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entury Gothic"/>
        <scheme val="major"/>
      </font>
      <alignment horizontal="center" vertical="center" textRotation="0" wrapText="1" indent="0" justifyLastLine="0" shrinkToFit="0" readingOrder="0"/>
      <border diagonalUp="0" diagonalDown="0" outline="0">
        <left style="thick">
          <color theme="0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entury Gothic"/>
        <scheme val="major"/>
      </font>
      <alignment horizontal="left" vertical="center" textRotation="0" wrapText="0" indent="0" justifyLastLine="0" shrinkToFit="0" readingOrder="0"/>
      <border diagonalUp="0" diagonalDown="0" outline="0">
        <left style="thick">
          <color theme="0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entury Gothic"/>
        <scheme val="major"/>
      </font>
      <alignment horizontal="left" vertical="bottom" textRotation="0" wrapText="0" indent="0" justifyLastLine="0" shrinkToFit="0" readingOrder="0"/>
    </dxf>
    <dxf>
      <numFmt numFmtId="168" formatCode="[hh]/mm&quot; h&quot;;;"/>
    </dxf>
    <dxf>
      <numFmt numFmtId="168" formatCode="[hh]/mm&quot; h&quot;;;"/>
    </dxf>
    <dxf>
      <numFmt numFmtId="164" formatCode="[$-F800]dddd\,\ mmmm\ dd\,\ yyyy"/>
    </dxf>
    <dxf>
      <numFmt numFmtId="168" formatCode="[hh]/mm&quot; h&quot;;;"/>
    </dxf>
    <dxf>
      <numFmt numFmtId="19" formatCode="dd/mm/yyyy"/>
    </dxf>
    <dxf>
      <numFmt numFmtId="164" formatCode="[$-F800]dddd\,\ mmmm\ dd\,\ yyyy"/>
    </dxf>
    <dxf>
      <numFmt numFmtId="169" formatCode="dd/mm/yyyy;@"/>
    </dxf>
    <dxf>
      <alignment horizontal="center" readingOrder="0"/>
    </dxf>
    <dxf>
      <alignment horizontal="center" readingOrder="0"/>
    </dxf>
    <dxf>
      <alignment horizontal="center" readingOrder="0"/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numFmt numFmtId="168" formatCode="[hh]/mm&quot; h&quot;;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entury Gothic"/>
        <scheme val="major"/>
      </font>
      <alignment horizontal="left" vertical="top" textRotation="0" wrapText="1" indent="0" justifyLastLine="0" shrinkToFit="0" readingOrder="0"/>
      <border diagonalUp="0" diagonalDown="0" outline="0">
        <left style="thick">
          <color theme="0"/>
        </left>
        <right/>
        <top style="thick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entury Gothic"/>
        <scheme val="major"/>
      </font>
      <alignment horizontal="left" vertical="center" textRotation="0" wrapText="1" indent="0" justifyLastLine="0" shrinkToFit="0" readingOrder="0"/>
      <border diagonalUp="0" diagonalDown="0">
        <left style="thick">
          <color theme="0"/>
        </left>
        <right/>
        <top style="thick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entury Gothic"/>
        <scheme val="major"/>
      </font>
      <alignment horizontal="left" vertical="center" textRotation="0" wrapText="0" indent="0" justifyLastLine="0" shrinkToFit="0" readingOrder="0"/>
      <border diagonalUp="0" diagonalDown="0">
        <left style="thick">
          <color theme="0"/>
        </left>
        <right/>
        <top style="thick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entury Gothic"/>
        <scheme val="major"/>
      </font>
      <numFmt numFmtId="19" formatCode="dd/mm/yyyy"/>
      <alignment horizontal="left" vertical="center" textRotation="0" wrapText="1" indent="0" justifyLastLine="0" shrinkToFit="0" readingOrder="0"/>
      <border diagonalUp="0" diagonalDown="0">
        <left style="thick">
          <color theme="0"/>
        </left>
        <right/>
        <top style="thick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entury Gothic"/>
        <scheme val="major"/>
      </font>
      <numFmt numFmtId="165" formatCode="hh\.mm&quot; h&quot;;@"/>
      <alignment horizontal="center" vertical="center" textRotation="0" wrapText="1" indent="0" justifyLastLine="0" shrinkToFit="0" readingOrder="0"/>
      <border diagonalUp="0" diagonalDown="0">
        <left style="thick">
          <color theme="0"/>
        </left>
        <right/>
        <top style="thick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entury Gothic"/>
        <scheme val="major"/>
      </font>
      <numFmt numFmtId="165" formatCode="hh\.mm&quot; h&quot;;@"/>
      <alignment horizontal="center" vertical="center" textRotation="0" wrapText="1" indent="0" justifyLastLine="0" shrinkToFit="0" readingOrder="0"/>
      <border diagonalUp="0" diagonalDown="0">
        <left style="thick">
          <color theme="0"/>
        </left>
        <right/>
        <top style="thick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entury Gothic"/>
        <scheme val="major"/>
      </font>
      <numFmt numFmtId="0" formatCode="General"/>
      <alignment horizontal="left" vertical="center" textRotation="0" wrapText="0" indent="0" justifyLastLine="0" shrinkToFit="0" readingOrder="0"/>
      <border diagonalUp="0" diagonalDown="0">
        <left style="thick">
          <color theme="0"/>
        </left>
        <right/>
        <top style="thick">
          <color theme="0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entury Gothic"/>
        <scheme val="major"/>
      </font>
      <numFmt numFmtId="167" formatCode="dd\.mm\.yyyy;@"/>
      <alignment horizontal="left" vertical="bottom" textRotation="0" wrapText="0" indent="0" justifyLastLine="0" shrinkToFit="0" readingOrder="0"/>
      <border diagonalUp="0" diagonalDown="0">
        <left/>
        <right/>
        <top style="thick">
          <color theme="0"/>
        </top>
        <bottom/>
        <vertical/>
        <horizontal/>
      </border>
    </dxf>
    <dxf>
      <border outline="0">
        <left style="thick">
          <color theme="0"/>
        </left>
        <right style="thick">
          <color theme="0"/>
        </right>
        <top style="thick">
          <color theme="0"/>
        </top>
        <bottom style="thick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0.34998626667073579"/>
        <name val="Century Gothic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ill>
        <patternFill>
          <bgColor rgb="FFF5B3A1"/>
        </patternFill>
      </fill>
    </dxf>
    <dxf>
      <fill>
        <patternFill>
          <bgColor rgb="FFF5B3A1"/>
        </patternFill>
      </fill>
    </dxf>
    <dxf>
      <fill>
        <patternFill>
          <bgColor rgb="FFF5B3A1"/>
        </patternFill>
      </fill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ill>
        <patternFill>
          <bgColor rgb="FFF5B3A1"/>
        </patternFill>
      </fill>
    </dxf>
    <dxf>
      <fill>
        <patternFill>
          <bgColor rgb="FFF5B3A1"/>
        </patternFill>
      </fill>
    </dxf>
    <dxf>
      <fill>
        <patternFill>
          <bgColor rgb="FFF5B3A1"/>
        </patternFill>
      </fill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ill>
        <patternFill>
          <bgColor rgb="FFF5B3A1"/>
        </patternFill>
      </fill>
    </dxf>
    <dxf>
      <fill>
        <patternFill>
          <bgColor rgb="FFF5B3A1"/>
        </patternFill>
      </fill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ont>
        <b/>
        <i/>
        <color theme="1" tint="0.499984740745262"/>
      </font>
    </dxf>
    <dxf>
      <font>
        <color theme="1" tint="0.499984740745262"/>
      </font>
      <border>
        <bottom style="thick">
          <color theme="4"/>
        </bottom>
      </border>
    </dxf>
    <dxf>
      <font>
        <color theme="1" tint="0.499984740745262"/>
      </font>
    </dxf>
    <dxf>
      <font>
        <b/>
        <i val="0"/>
        <color theme="1" tint="0.499984740745262"/>
      </font>
      <border diagonalUp="0" diagonalDown="0">
        <left style="thick">
          <color theme="0"/>
        </left>
        <right style="thick">
          <color theme="0"/>
        </right>
        <top style="thick">
          <color theme="0"/>
        </top>
        <bottom style="thick">
          <color theme="0"/>
        </bottom>
        <vertical style="thick">
          <color theme="0"/>
        </vertical>
        <horizontal style="thick">
          <color theme="0"/>
        </horizontal>
      </border>
    </dxf>
    <dxf>
      <font>
        <b val="0"/>
        <i val="0"/>
        <color theme="1" tint="0.499984740745262"/>
      </font>
      <border diagonalUp="0" diagonalDown="0">
        <left style="thick">
          <color theme="0"/>
        </left>
        <right style="thick">
          <color theme="0"/>
        </right>
        <top style="thick">
          <color theme="0"/>
        </top>
        <bottom style="thick">
          <color theme="0"/>
        </bottom>
        <vertical style="thick">
          <color theme="0"/>
        </vertical>
        <horizontal style="thick">
          <color theme="0"/>
        </horizontal>
      </border>
    </dxf>
    <dxf>
      <font>
        <b val="0"/>
        <i val="0"/>
        <color theme="1" tint="0.499984740745262"/>
      </font>
      <fill>
        <patternFill patternType="none">
          <bgColor auto="1"/>
        </patternFill>
      </fill>
      <border diagonalUp="0" diagonalDown="0">
        <left style="thick">
          <color theme="0"/>
        </left>
        <right style="thick">
          <color theme="0"/>
        </right>
        <top style="thick">
          <color theme="0"/>
        </top>
        <bottom style="thick">
          <color theme="4"/>
        </bottom>
        <vertical style="thick">
          <color theme="0"/>
        </vertical>
        <horizontal style="thick">
          <color theme="0"/>
        </horizontal>
      </border>
    </dxf>
    <dxf>
      <font>
        <b val="0"/>
        <i val="0"/>
        <color theme="1" tint="0.499984740745262"/>
      </font>
      <border diagonalUp="0" diagonalDown="0">
        <left style="thick">
          <color theme="0"/>
        </left>
        <right style="thick">
          <color theme="0"/>
        </right>
        <top style="thick">
          <color theme="0"/>
        </top>
        <bottom style="thick">
          <color theme="0"/>
        </bottom>
        <vertical style="thick">
          <color theme="0"/>
        </vertical>
        <horizontal style="thick">
          <color theme="0"/>
        </horizontal>
      </border>
    </dxf>
    <dxf>
      <font>
        <b/>
        <i val="0"/>
        <color theme="1" tint="0.499984740745262"/>
      </font>
      <border diagonalUp="0" diagonalDown="0">
        <left style="thick">
          <color theme="0"/>
        </left>
        <right style="thick">
          <color theme="0"/>
        </right>
        <top style="thick">
          <color theme="0"/>
        </top>
        <bottom style="thick">
          <color theme="0"/>
        </bottom>
        <vertical style="thick">
          <color theme="0"/>
        </vertical>
        <horizontal style="thick">
          <color theme="0"/>
        </horizontal>
      </border>
    </dxf>
    <dxf>
      <font>
        <b val="0"/>
        <i val="0"/>
        <color theme="1" tint="0.499984740745262"/>
      </font>
      <border diagonalUp="0" diagonalDown="0">
        <left style="thick">
          <color theme="0"/>
        </left>
        <right style="thick">
          <color theme="0"/>
        </right>
        <top style="thick">
          <color theme="0"/>
        </top>
        <bottom style="thick">
          <color theme="0"/>
        </bottom>
        <vertical style="thick">
          <color theme="0"/>
        </vertical>
        <horizontal style="thick">
          <color theme="0"/>
        </horizontal>
      </border>
    </dxf>
    <dxf>
      <font>
        <b val="0"/>
        <i val="0"/>
        <color theme="1" tint="0.499984740745262"/>
      </font>
      <fill>
        <patternFill patternType="none">
          <bgColor auto="1"/>
        </patternFill>
      </fill>
      <border diagonalUp="0" diagonalDown="0">
        <left style="thick">
          <color theme="0"/>
        </left>
        <right style="thick">
          <color theme="0"/>
        </right>
        <top style="thick">
          <color theme="0"/>
        </top>
        <bottom style="thick">
          <color theme="8"/>
        </bottom>
        <vertical style="thick">
          <color theme="0"/>
        </vertical>
        <horizontal style="thick">
          <color theme="0"/>
        </horizontal>
      </border>
    </dxf>
    <dxf>
      <font>
        <b val="0"/>
        <i val="0"/>
        <color theme="1" tint="0.499984740745262"/>
      </font>
      <border diagonalUp="0" diagonalDown="0">
        <left style="thick">
          <color theme="0"/>
        </left>
        <right style="thick">
          <color theme="0"/>
        </right>
        <top style="thick">
          <color theme="0"/>
        </top>
        <bottom style="thick">
          <color theme="0"/>
        </bottom>
        <vertical style="thick">
          <color theme="0"/>
        </vertical>
        <horizontal style="thick">
          <color theme="0"/>
        </horizontal>
      </border>
    </dxf>
    <dxf>
      <font>
        <b/>
        <i val="0"/>
        <color theme="1" tint="0.499984740745262"/>
      </font>
      <border diagonalUp="0" diagonalDown="0">
        <left style="thick">
          <color theme="0"/>
        </left>
        <right style="thick">
          <color theme="0"/>
        </right>
        <top style="thick">
          <color theme="0"/>
        </top>
        <bottom style="thick">
          <color theme="0"/>
        </bottom>
        <vertical style="thick">
          <color theme="0"/>
        </vertical>
        <horizontal style="thick">
          <color theme="0"/>
        </horizontal>
      </border>
    </dxf>
    <dxf>
      <font>
        <b val="0"/>
        <i val="0"/>
        <color theme="1" tint="0.499984740745262"/>
      </font>
      <border diagonalUp="0" diagonalDown="0">
        <left style="thick">
          <color theme="0"/>
        </left>
        <right style="thick">
          <color theme="0"/>
        </right>
        <top style="thick">
          <color theme="0"/>
        </top>
        <bottom style="thick">
          <color theme="0"/>
        </bottom>
        <vertical style="thick">
          <color theme="0"/>
        </vertical>
        <horizontal style="thick">
          <color theme="0"/>
        </horizontal>
      </border>
    </dxf>
    <dxf>
      <font>
        <b val="0"/>
        <i val="0"/>
        <color theme="1" tint="0.499984740745262"/>
      </font>
      <fill>
        <patternFill patternType="none">
          <bgColor auto="1"/>
        </patternFill>
      </fill>
      <border diagonalUp="0" diagonalDown="0">
        <left style="thick">
          <color theme="0"/>
        </left>
        <right style="thick">
          <color theme="0"/>
        </right>
        <top style="thick">
          <color theme="0"/>
        </top>
        <bottom style="thick">
          <color theme="5"/>
        </bottom>
        <vertical style="thick">
          <color theme="0"/>
        </vertical>
        <horizontal style="thick">
          <color theme="0"/>
        </horizontal>
      </border>
    </dxf>
    <dxf>
      <font>
        <b val="0"/>
        <i val="0"/>
        <color theme="1" tint="0.499984740745262"/>
      </font>
      <border diagonalUp="0" diagonalDown="0">
        <left style="thick">
          <color theme="0"/>
        </left>
        <right style="thick">
          <color theme="0"/>
        </right>
        <top style="thick">
          <color theme="0"/>
        </top>
        <bottom style="thick">
          <color theme="0"/>
        </bottom>
        <vertical style="thick">
          <color theme="0"/>
        </vertical>
        <horizontal style="thick">
          <color theme="0"/>
        </horizontal>
      </border>
    </dxf>
    <dxf>
      <font>
        <b/>
        <i val="0"/>
        <sz val="11"/>
        <color theme="0" tint="-0.34998626667073579"/>
        <name val="Century Gothic"/>
        <scheme val="minor"/>
      </font>
      <fill>
        <patternFill>
          <bgColor theme="0"/>
        </patternFill>
      </fill>
      <border diagonalUp="0" diagonalDown="0">
        <left/>
        <right/>
        <top/>
        <bottom/>
        <vertical/>
        <horizontal/>
      </border>
    </dxf>
    <dxf>
      <font>
        <b/>
        <i/>
        <color theme="4"/>
        <name val="Century Gothic"/>
        <scheme val="major"/>
      </font>
      <fill>
        <patternFill patternType="solid">
          <bgColor theme="0"/>
        </patternFill>
      </fill>
      <border diagonalUp="0" diagonalDown="0">
        <left/>
        <right/>
        <top/>
        <bottom/>
        <vertical/>
        <horizontal/>
      </border>
    </dxf>
  </dxfs>
  <tableStyles count="5" defaultTableStyle="Employee Training Tracker - Log" defaultPivotStyle="PivotTable Style 1">
    <tableStyle name="Employee Training Tracker" pivot="0" table="0" count="10" xr9:uid="{00000000-0011-0000-FFFF-FFFF00000000}">
      <tableStyleElement type="wholeTable" dxfId="471"/>
      <tableStyleElement type="headerRow" dxfId="470"/>
    </tableStyle>
    <tableStyle name="Employee Training Tracker - Info" pivot="0" count="4" xr9:uid="{00000000-0011-0000-FFFF-FFFF01000000}">
      <tableStyleElement type="wholeTable" dxfId="469"/>
      <tableStyleElement type="headerRow" dxfId="468"/>
      <tableStyleElement type="totalRow" dxfId="467"/>
      <tableStyleElement type="firstColumn" dxfId="466"/>
    </tableStyle>
    <tableStyle name="Employee Training Tracker - List" pivot="0" count="4" xr9:uid="{00000000-0011-0000-FFFF-FFFF02000000}">
      <tableStyleElement type="wholeTable" dxfId="465"/>
      <tableStyleElement type="headerRow" dxfId="464"/>
      <tableStyleElement type="totalRow" dxfId="463"/>
      <tableStyleElement type="firstColumn" dxfId="462"/>
    </tableStyle>
    <tableStyle name="Employee Training Tracker - Log" pivot="0" count="4" xr9:uid="{00000000-0011-0000-FFFF-FFFF03000000}">
      <tableStyleElement type="wholeTable" dxfId="461"/>
      <tableStyleElement type="headerRow" dxfId="460"/>
      <tableStyleElement type="totalRow" dxfId="459"/>
      <tableStyleElement type="firstColumn" dxfId="458"/>
    </tableStyle>
    <tableStyle name="PivotTable Style 1" table="0" count="3" xr9:uid="{00000000-0011-0000-FFFF-FFFF04000000}">
      <tableStyleElement type="wholeTable" dxfId="457"/>
      <tableStyleElement type="headerRow" dxfId="456"/>
      <tableStyleElement type="firstColumn" dxfId="455"/>
    </tableStyle>
  </tableStyles>
  <colors>
    <mruColors>
      <color rgb="FF9CD1F2"/>
      <color rgb="FF67B2E5"/>
      <color rgb="FF33A8FF"/>
      <color rgb="FFFFFFFF"/>
      <color rgb="FFF5B3A1"/>
    </mruColors>
  </colors>
  <extLst>
    <ext xmlns:x14="http://schemas.microsoft.com/office/spreadsheetml/2009/9/main" uri="{46F421CA-312F-682f-3DD2-61675219B42D}">
      <x14:dxfs count="8">
        <dxf>
          <fill>
            <patternFill>
              <bgColor theme="0"/>
            </patternFill>
          </fill>
        </dxf>
        <dxf>
          <fill>
            <patternFill>
              <bgColor theme="0"/>
            </patternFill>
          </fill>
        </dxf>
        <dxf>
          <fill>
            <patternFill>
              <bgColor theme="0"/>
            </patternFill>
          </fill>
        </dxf>
        <dxf>
          <fill>
            <patternFill>
              <bgColor theme="0"/>
            </patternFill>
          </fill>
        </dxf>
        <dxf>
          <font>
            <b/>
            <i/>
            <color theme="4"/>
            <name val="Century Gothic"/>
            <scheme val="major"/>
          </font>
          <fill>
            <patternFill patternType="solid">
              <fgColor indexed="64"/>
              <bgColor theme="0"/>
            </patternFill>
          </fill>
          <border diagonalUp="0" diagonalDown="0">
            <left style="thin">
              <color theme="0" tint="-0.14996795556505021"/>
            </left>
            <right style="thin">
              <color theme="0" tint="-0.14996795556505021"/>
            </right>
            <top style="thin">
              <color theme="0" tint="-0.14996795556505021"/>
            </top>
            <bottom style="thin">
              <color theme="0" tint="-0.14996795556505021"/>
            </bottom>
            <vertical/>
            <horizontal/>
          </border>
        </dxf>
        <dxf>
          <font>
            <b/>
            <i val="0"/>
            <color theme="0"/>
            <name val="Century Gothic"/>
            <scheme val="major"/>
          </font>
          <fill>
            <patternFill patternType="solid">
              <fgColor theme="4" tint="0.59999389629810485"/>
              <bgColor theme="4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b/>
            <i/>
            <color theme="4"/>
            <name val="Century Gothic"/>
            <scheme val="major"/>
          </font>
          <fill>
            <patternFill patternType="solid">
              <fgColor indexed="64"/>
              <bgColor theme="0"/>
            </patternFill>
          </fill>
          <border diagonalUp="0" diagonalDown="0">
            <left style="thin">
              <color theme="0" tint="-0.14996795556505021"/>
            </left>
            <right style="thin">
              <color theme="0" tint="-0.14996795556505021"/>
            </right>
            <top style="thin">
              <color theme="0" tint="-0.14996795556505021"/>
            </top>
            <bottom style="thin">
              <color theme="0" tint="-0.14996795556505021"/>
            </bottom>
            <vertical/>
            <horizontal/>
          </border>
        </dxf>
        <dxf>
          <font>
            <b/>
            <i/>
            <color theme="4"/>
            <name val="Century Gothic"/>
            <scheme val="major"/>
          </font>
          <fill>
            <patternFill patternType="solid">
              <fgColor indexed="64"/>
              <bgColor theme="0"/>
            </patternFill>
          </fill>
          <border diagonalUp="0" diagonalDown="0">
            <left style="thin">
              <color theme="0" tint="-0.14996795556505021"/>
            </left>
            <right style="thin">
              <color theme="0" tint="-0.14996795556505021"/>
            </right>
            <top style="thin">
              <color theme="0" tint="-0.14996795556505021"/>
            </top>
            <bottom style="thin">
              <color theme="0" tint="-0.14996795556505021"/>
            </bottom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Employee Training Tracker">
        <x14:slicerStyle name="Employee Training Tracker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theme" Target="theme/theme1.xml"/><Relationship Id="rId1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7/relationships/slicerCache" Target="slicerCaches/slicerCache4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7/relationships/slicerCache" Target="slicerCaches/slicerCache3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microsoft.com/office/2007/relationships/slicerCache" Target="slicerCaches/slicerCache2.xml"/><Relationship Id="rId19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[Journal_de_travail_Jonny_Hofmann.xlsm]TCD_Gra_Tâches!TCD_Matières</c:name>
    <c:fmtId val="1"/>
  </c:pivotSource>
  <c:chart>
    <c:autoTitleDeleted val="1"/>
    <c:pivotFmts>
      <c:pivotFmt>
        <c:idx val="0"/>
      </c:pivotFmt>
      <c:pivotFmt>
        <c:idx val="1"/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</c:pivotFmt>
      <c:pivotFmt>
        <c:idx val="11"/>
      </c:pivotFmt>
      <c:pivotFmt>
        <c:idx val="12"/>
      </c:pivotFmt>
      <c:pivotFmt>
        <c:idx val="13"/>
        <c:dLbl>
          <c:idx val="0"/>
          <c:dLblPos val="bestFit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pPr>
            <a:solidFill>
              <a:schemeClr val="accent1"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rgbClr val="000000">
                  <a:lumMod val="75000"/>
                  <a:lumOff val="25000"/>
                </a:srgbClr>
              </a:fgClr>
              <a:bgClr>
                <a:srgbClr val="000000">
                  <a:lumMod val="65000"/>
                  <a:lumOff val="35000"/>
                </a:srgb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CH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2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2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2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2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2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2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2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2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2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2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rgbClr val="000000">
                  <a:lumMod val="75000"/>
                  <a:lumOff val="25000"/>
                </a:srgbClr>
              </a:fgClr>
              <a:bgClr>
                <a:srgbClr val="000000">
                  <a:lumMod val="65000"/>
                  <a:lumOff val="35000"/>
                </a:srgb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CH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rgbClr val="000000">
                  <a:lumMod val="75000"/>
                  <a:lumOff val="25000"/>
                </a:srgbClr>
              </a:fgClr>
              <a:bgClr>
                <a:srgbClr val="000000">
                  <a:lumMod val="65000"/>
                  <a:lumOff val="35000"/>
                </a:srgb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CH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</c:pivotFmts>
    <c:view3D>
      <c:rotX val="5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tx>
            <c:strRef>
              <c:f>TCD_Gra_Tâches!$D$5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1-48FD-4B76-9BA7-AC29DE898FF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3-48FD-4B76-9BA7-AC29DE898FFC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5-48FD-4B76-9BA7-AC29DE898FFC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7-48FD-4B76-9BA7-AC29DE898FFC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9-48FD-4B76-9BA7-AC29DE898FFC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B-48FD-4B76-9BA7-AC29DE898FFC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D-48FD-4B76-9BA7-AC29DE898FFC}"/>
              </c:ext>
            </c:extLst>
          </c:dPt>
          <c:dLbls>
            <c:spPr>
              <a:pattFill prst="pct75">
                <a:fgClr>
                  <a:srgbClr val="000000">
                    <a:lumMod val="75000"/>
                    <a:lumOff val="25000"/>
                  </a:srgbClr>
                </a:fgClr>
                <a:bgClr>
                  <a:srgbClr val="000000">
                    <a:lumMod val="65000"/>
                    <a:lumOff val="35000"/>
                  </a:srgb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CH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TCD_Gra_Tâches!$A$6:$C$6</c:f>
              <c:strCache>
                <c:ptCount val="1"/>
                <c:pt idx="0">
                  <c:v>Total général</c:v>
                </c:pt>
              </c:strCache>
            </c:strRef>
          </c:cat>
          <c:val>
            <c:numRef>
              <c:f>TCD_Gra_Tâches!$D$6</c:f>
              <c:numCache>
                <c:formatCode>[hh]/mm" h";;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4BEF-433F-8351-33F504C27ABB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CH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CH"/>
    </a:p>
  </c:txPr>
  <c:printSettings>
    <c:headerFooter/>
    <c:pageMargins b="0.75" l="0.7" r="0.7" t="0.75" header="0.3" footer="0.3"/>
    <c:pageSetup orientation="landscape"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[Journal_de_travail_Jonny_Hofmann.xlsm]TCD_Gra_Activités!TCD_Activités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CH"/>
        </a:p>
      </c:txPr>
    </c:title>
    <c:autoTitleDeleted val="0"/>
    <c:pivotFmts>
      <c:pivotFmt>
        <c:idx val="0"/>
      </c:pivotFmt>
      <c:pivotFmt>
        <c:idx val="1"/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</c:pivotFmt>
      <c:pivotFmt>
        <c:idx val="11"/>
      </c:pivotFmt>
      <c:pivotFmt>
        <c:idx val="12"/>
      </c:pivotFmt>
      <c:pivotFmt>
        <c:idx val="13"/>
      </c:pivotFmt>
      <c:pivotFmt>
        <c:idx val="14"/>
      </c:pivotFmt>
      <c:pivotFmt>
        <c:idx val="15"/>
      </c:pivotFmt>
      <c:pivotFmt>
        <c:idx val="16"/>
      </c:pivotFmt>
      <c:pivotFmt>
        <c:idx val="17"/>
      </c:pivotFmt>
      <c:pivotFmt>
        <c:idx val="18"/>
      </c:pivotFmt>
      <c:pivotFmt>
        <c:idx val="19"/>
      </c:pivotFmt>
      <c:pivotFmt>
        <c:idx val="20"/>
      </c:pivotFmt>
      <c:pivotFmt>
        <c:idx val="21"/>
      </c:pivotFmt>
      <c:pivotFmt>
        <c:idx val="22"/>
      </c:pivotFmt>
      <c:pivotFmt>
        <c:idx val="23"/>
      </c:pivotFmt>
      <c:pivotFmt>
        <c:idx val="2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accent1">
                <a:lumMod val="75000"/>
              </a:schemeClr>
            </a:solidFill>
            <a:round/>
          </a:ln>
          <a:effectLst/>
          <a:sp3d contourW="9525">
            <a:contourClr>
              <a:schemeClr val="accent1">
                <a:lumMod val="75000"/>
              </a:schemeClr>
            </a:contourClr>
          </a:sp3d>
        </c:spPr>
        <c:marker>
          <c:symbol val="none"/>
        </c:marker>
      </c:pivotFmt>
      <c:pivotFmt>
        <c:idx val="2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accent1">
                <a:lumMod val="75000"/>
              </a:schemeClr>
            </a:solidFill>
            <a:round/>
          </a:ln>
          <a:effectLst/>
          <a:sp3d contourW="9525">
            <a:contourClr>
              <a:schemeClr val="accent1">
                <a:lumMod val="75000"/>
              </a:schemeClr>
            </a:contourClr>
          </a:sp3d>
        </c:spPr>
        <c:marker>
          <c:symbol val="none"/>
        </c:marker>
      </c:pivotFmt>
      <c:pivotFmt>
        <c:idx val="2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accent1">
                <a:lumMod val="75000"/>
              </a:schemeClr>
            </a:solidFill>
            <a:round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accent1">
                <a:lumMod val="75000"/>
              </a:schemeClr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accent1">
                <a:lumMod val="75000"/>
              </a:schemeClr>
            </a:solidFill>
            <a:round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accent1">
                <a:lumMod val="75000"/>
              </a:schemeClr>
            </a:solidFill>
            <a:round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accent1">
                <a:lumMod val="75000"/>
              </a:schemeClr>
            </a:solidFill>
            <a:round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accent1">
                <a:lumMod val="75000"/>
              </a:schemeClr>
            </a:solidFill>
            <a:round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accent1">
                <a:lumMod val="75000"/>
              </a:schemeClr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accent1">
                <a:lumMod val="75000"/>
              </a:schemeClr>
            </a:solidFill>
            <a:round/>
          </a:ln>
          <a:effectLst/>
        </c:spPr>
        <c:marker>
          <c:symbol val="none"/>
        </c:marker>
      </c:pivotFmt>
      <c:pivotFmt>
        <c:idx val="3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accent1">
                <a:lumMod val="75000"/>
              </a:schemeClr>
            </a:solidFill>
            <a:round/>
          </a:ln>
          <a:effectLst/>
        </c:spPr>
        <c:marker>
          <c:symbol val="none"/>
        </c:marker>
      </c:pivotFmt>
      <c:pivotFmt>
        <c:idx val="3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accent1">
                <a:lumMod val="75000"/>
              </a:schemeClr>
            </a:solidFill>
            <a:round/>
          </a:ln>
          <a:effectLst/>
        </c:spPr>
        <c:marker>
          <c:symbol val="none"/>
        </c:marker>
      </c:pivotFmt>
      <c:pivotFmt>
        <c:idx val="3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accent1">
                <a:lumMod val="75000"/>
              </a:schemeClr>
            </a:solidFill>
            <a:round/>
          </a:ln>
          <a:effectLst/>
        </c:spPr>
        <c:marker>
          <c:symbol val="none"/>
        </c:marker>
      </c:pivotFmt>
      <c:pivotFmt>
        <c:idx val="3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accent1">
                <a:lumMod val="75000"/>
              </a:schemeClr>
            </a:solidFill>
            <a:round/>
          </a:ln>
          <a:effectLst/>
        </c:spPr>
        <c:marker>
          <c:symbol val="none"/>
        </c:marker>
      </c:pivotFmt>
      <c:pivotFmt>
        <c:idx val="3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accent1">
                <a:lumMod val="75000"/>
              </a:schemeClr>
            </a:solidFill>
            <a:round/>
          </a:ln>
          <a:effectLst/>
        </c:spPr>
        <c:marker>
          <c:symbol val="none"/>
        </c:marker>
      </c:pivotFmt>
      <c:pivotFmt>
        <c:idx val="3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accent1">
                <a:lumMod val="75000"/>
              </a:schemeClr>
            </a:solidFill>
            <a:round/>
          </a:ln>
          <a:effectLst/>
        </c:spPr>
        <c:marker>
          <c:symbol val="none"/>
        </c:marker>
      </c:pivotFmt>
      <c:pivotFmt>
        <c:idx val="4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accent1">
                <a:lumMod val="75000"/>
              </a:schemeClr>
            </a:solidFill>
            <a:round/>
          </a:ln>
          <a:effectLst/>
        </c:spPr>
        <c:marker>
          <c:symbol val="none"/>
        </c:marker>
      </c:pivotFmt>
      <c:pivotFmt>
        <c:idx val="4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accent1">
                <a:lumMod val="75000"/>
              </a:schemeClr>
            </a:solidFill>
            <a:round/>
          </a:ln>
          <a:effectLst/>
        </c:spPr>
        <c:marker>
          <c:symbol val="none"/>
        </c:marker>
      </c:pivotFmt>
      <c:pivotFmt>
        <c:idx val="4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accent1">
                <a:lumMod val="75000"/>
              </a:schemeClr>
            </a:solidFill>
            <a:round/>
          </a:ln>
          <a:effectLst/>
        </c:spPr>
        <c:marker>
          <c:symbol val="none"/>
        </c:marker>
      </c:pivotFmt>
      <c:pivotFmt>
        <c:idx val="4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accent1">
                <a:lumMod val="75000"/>
              </a:schemeClr>
            </a:solidFill>
            <a:round/>
          </a:ln>
          <a:effectLst/>
        </c:spPr>
        <c:marker>
          <c:symbol val="none"/>
        </c:marker>
      </c:pivotFmt>
      <c:pivotFmt>
        <c:idx val="4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accent1">
                <a:lumMod val="75000"/>
              </a:schemeClr>
            </a:solidFill>
            <a:round/>
          </a:ln>
          <a:effectLst/>
        </c:spPr>
        <c:marker>
          <c:symbol val="none"/>
        </c:marker>
      </c:pivotFmt>
      <c:pivotFmt>
        <c:idx val="4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accent1">
                <a:lumMod val="75000"/>
              </a:schemeClr>
            </a:solidFill>
            <a:round/>
          </a:ln>
          <a:effectLst/>
        </c:spPr>
        <c:marker>
          <c:symbol val="none"/>
        </c:marker>
      </c:pivotFmt>
      <c:pivotFmt>
        <c:idx val="4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accent1">
                <a:lumMod val="75000"/>
              </a:schemeClr>
            </a:solidFill>
            <a:round/>
          </a:ln>
          <a:effectLst/>
        </c:spPr>
        <c:marker>
          <c:symbol val="none"/>
        </c:marker>
      </c:pivotFmt>
      <c:pivotFmt>
        <c:idx val="4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accent1">
                <a:lumMod val="75000"/>
              </a:schemeClr>
            </a:solidFill>
            <a:round/>
          </a:ln>
          <a:effectLst/>
        </c:spPr>
        <c:marker>
          <c:symbol val="none"/>
        </c:marker>
      </c:pivotFmt>
      <c:pivotFmt>
        <c:idx val="4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accent1">
                <a:lumMod val="75000"/>
              </a:schemeClr>
            </a:solidFill>
            <a:round/>
          </a:ln>
          <a:effectLst/>
        </c:spPr>
        <c:marker>
          <c:symbol val="none"/>
        </c:marker>
      </c:pivotFmt>
      <c:pivotFmt>
        <c:idx val="4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accent1">
                <a:lumMod val="75000"/>
              </a:schemeClr>
            </a:solidFill>
            <a:round/>
          </a:ln>
          <a:effectLst/>
        </c:spPr>
        <c:marker>
          <c:symbol val="none"/>
        </c:marker>
      </c:pivotFmt>
      <c:pivotFmt>
        <c:idx val="5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accent1">
                <a:lumMod val="75000"/>
              </a:schemeClr>
            </a:solidFill>
            <a:round/>
          </a:ln>
          <a:effectLst/>
        </c:spPr>
        <c:marker>
          <c:symbol val="none"/>
        </c:marker>
      </c:pivotFmt>
      <c:pivotFmt>
        <c:idx val="5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accent1">
                <a:lumMod val="7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CH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accent1">
                <a:lumMod val="75000"/>
              </a:schemeClr>
            </a:solidFill>
            <a:round/>
          </a:ln>
          <a:effectLst/>
        </c:spPr>
        <c:marker>
          <c:symbol val="none"/>
        </c:marker>
      </c:pivotFmt>
      <c:pivotFmt>
        <c:idx val="5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accent1">
                <a:lumMod val="75000"/>
              </a:schemeClr>
            </a:solidFill>
            <a:round/>
          </a:ln>
          <a:effectLst/>
        </c:spPr>
        <c:marker>
          <c:symbol val="none"/>
        </c:marker>
      </c:pivotFmt>
      <c:pivotFmt>
        <c:idx val="5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accent1">
                <a:lumMod val="7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CH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accent1">
                <a:lumMod val="7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CH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TCD_Gra_Activités!$B$4:$B$5</c:f>
              <c:strCache>
                <c:ptCount val="1"/>
                <c:pt idx="0">
                  <c:v>(vide)</c:v>
                </c:pt>
              </c:strCache>
            </c:strRef>
          </c:tx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accent1">
                  <a:lumMod val="75000"/>
                </a:schemeClr>
              </a:solidFill>
              <a:round/>
            </a:ln>
            <a:effectLst/>
          </c:spPr>
          <c:invertIfNegative val="0"/>
          <c:cat>
            <c:strRef>
              <c:f>TCD_Gra_Activités!$A$6:$A$7</c:f>
              <c:strCache>
                <c:ptCount val="1"/>
                <c:pt idx="0">
                  <c:v>(vide)</c:v>
                </c:pt>
              </c:strCache>
            </c:strRef>
          </c:cat>
          <c:val>
            <c:numRef>
              <c:f>TCD_Gra_Activités!$B$6:$B$7</c:f>
              <c:numCache>
                <c:formatCode>[hh]/mm" h";;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209-4F04-9620-2CFB081B91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5"/>
        <c:axId val="539240288"/>
        <c:axId val="539235696"/>
      </c:barChart>
      <c:catAx>
        <c:axId val="53924028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H"/>
          </a:p>
        </c:txPr>
        <c:crossAx val="539235696"/>
        <c:crosses val="autoZero"/>
        <c:auto val="1"/>
        <c:lblAlgn val="ctr"/>
        <c:lblOffset val="100"/>
        <c:noMultiLvlLbl val="0"/>
      </c:catAx>
      <c:valAx>
        <c:axId val="5392356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hh]:mm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H"/>
          </a:p>
        </c:txPr>
        <c:crossAx val="539240288"/>
        <c:crosses val="autoZero"/>
        <c:crossBetween val="between"/>
        <c:majorUnit val="4.1666000000000009E-2"/>
      </c:valAx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CH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CH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[Journal_de_travail_Jonny_Hofmann.xlsm]TCD_Absences!TCD_Absences</c:name>
    <c:fmtId val="1"/>
  </c:pivotSource>
  <c:chart>
    <c:autoTitleDeleted val="1"/>
    <c:pivotFmts>
      <c:pivotFmt>
        <c:idx val="0"/>
      </c:pivotFmt>
      <c:pivotFmt>
        <c:idx val="1"/>
      </c:pivotFmt>
      <c:pivotFmt>
        <c:idx val="2"/>
      </c:pivotFmt>
      <c:pivotFmt>
        <c:idx val="3"/>
      </c:pivotFmt>
      <c:pivotFmt>
        <c:idx val="4"/>
        <c:spPr>
          <a:solidFill>
            <a:schemeClr val="accent1">
              <a:alpha val="70000"/>
            </a:schemeClr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lt1"/>
              </a:solidFill>
            </a:ln>
            <a:effectLst/>
          </c:spPr>
        </c:marker>
        <c:dLbl>
          <c:idx val="0"/>
          <c:dLblPos val="in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>
              <a:alpha val="7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6"/>
        <c:spPr>
          <a:solidFill>
            <a:schemeClr val="accent1">
              <a:alpha val="7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chemeClr val="accent1">
              <a:alpha val="7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8"/>
        <c:spPr>
          <a:solidFill>
            <a:schemeClr val="accent1">
              <a:alpha val="7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rgbClr val="FFFFFF">
                <a:alpha val="90000"/>
              </a:srgbClr>
            </a:solidFill>
            <a:ln w="12700" cap="flat" cmpd="sng" algn="ctr">
              <a:solidFill>
                <a:srgbClr val="EB6D4A"/>
              </a:solidFill>
              <a:round/>
            </a:ln>
            <a:effectLst>
              <a:outerShdw blurRad="50800" dist="38100" dir="2700000" algn="tl" rotWithShape="0">
                <a:srgbClr val="EB6D4A">
                  <a:lumMod val="75000"/>
                  <a:alpha val="40000"/>
                </a:srgbClr>
              </a:outerShdw>
            </a:effectLst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accent1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n-CH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TCD_Absences!$C$6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>
                <a:alpha val="70000"/>
              </a:schemeClr>
            </a:solidFill>
            <a:ln>
              <a:noFill/>
            </a:ln>
            <a:effectLst/>
          </c:spPr>
          <c:invertIfNegative val="0"/>
          <c:cat>
            <c:strRef>
              <c:f>TCD_Absences!$A$7:$B$7</c:f>
              <c:strCache>
                <c:ptCount val="1"/>
                <c:pt idx="0">
                  <c:v>Total général</c:v>
                </c:pt>
              </c:strCache>
            </c:strRef>
          </c:cat>
          <c:val>
            <c:numRef>
              <c:f>TCD_Absences!$C$7</c:f>
              <c:numCache>
                <c:formatCode>[hh]/mm" h";;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F5A-401E-91F7-4E825145B6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661715264"/>
        <c:axId val="661715920"/>
      </c:barChart>
      <c:catAx>
        <c:axId val="661715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1587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H"/>
          </a:p>
        </c:txPr>
        <c:crossAx val="661715920"/>
        <c:crosses val="autoZero"/>
        <c:auto val="1"/>
        <c:lblAlgn val="ctr"/>
        <c:lblOffset val="100"/>
        <c:noMultiLvlLbl val="0"/>
      </c:catAx>
      <c:valAx>
        <c:axId val="661715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ajorGridlines>
        <c:numFmt formatCode="[hh]/mm&quot; h&quot;;;" sourceLinked="0"/>
        <c:majorTickMark val="out"/>
        <c:minorTickMark val="in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H"/>
          </a:p>
        </c:txPr>
        <c:crossAx val="661715264"/>
        <c:crosses val="autoZero"/>
        <c:crossBetween val="between"/>
        <c:majorUnit val="4.1666000000000009E-2"/>
        <c:minorUnit val="2.0833000000000001E-2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CH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4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8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phClr">
            <a:lumMod val="75000"/>
          </a:schemeClr>
        </a:solidFill>
        <a:round/>
      </a:ln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phClr">
            <a:lumMod val="7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sp3d/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/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63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>
      <cs:styleClr val="auto"/>
    </cs:lnRef>
    <cs:fillRef idx="0"/>
    <cs:effectRef idx="0">
      <cs:styleClr val="auto"/>
    </cs:effectRef>
    <cs:fontRef idx="minor">
      <cs:styleClr val="auto"/>
    </cs:fontRef>
    <cs:spPr>
      <a:solidFill>
        <a:schemeClr val="lt1">
          <a:alpha val="90000"/>
        </a:schemeClr>
      </a:solidFill>
      <a:ln w="12700" cap="flat" cmpd="sng" algn="ctr">
        <a:solidFill>
          <a:schemeClr val="phClr"/>
        </a:solidFill>
        <a:round/>
      </a:ln>
      <a:effectLst>
        <a:outerShdw blurRad="50800" dist="38100" dir="2700000" algn="tl" rotWithShape="0">
          <a:schemeClr val="phClr">
            <a:lumMod val="75000"/>
            <a:alpha val="40000"/>
          </a:schemeClr>
        </a:outerShdw>
      </a:effectLst>
    </cs:spPr>
    <cs:defRPr sz="1000" b="0" i="0" u="none" strike="noStrike" kern="1200" baseline="0">
      <a:effectLst/>
    </cs:defRPr>
    <cs:bodyPr rot="0" spcFirstLastPara="1" vertOverflow="clip" horzOverflow="clip" vert="horz" wrap="square" lIns="38100" tIns="19050" rIns="38100" bIns="19050" anchor="ctr" anchorCtr="1">
      <a:spAutoFit/>
    </cs:bodyPr>
  </cs:dataLabel>
  <cs:dataLabelCallout>
    <cs:lnRef idx="0">
      <cs:styleClr val="auto"/>
    </cs:lnRef>
    <cs:fillRef idx="0"/>
    <cs:effectRef idx="0">
      <cs:styleClr val="auto"/>
    </cs:effectRef>
    <cs:fontRef idx="minor">
      <cs:styleClr val="auto"/>
    </cs:fontRef>
    <cs:spPr>
      <a:solidFill>
        <a:schemeClr val="lt1">
          <a:alpha val="90000"/>
        </a:schemeClr>
      </a:solidFill>
      <a:ln w="12700" cap="flat" cmpd="sng" algn="ctr">
        <a:solidFill>
          <a:schemeClr val="phClr"/>
        </a:solidFill>
        <a:round/>
      </a:ln>
      <a:effectLst>
        <a:outerShdw blurRad="50800" dist="38100" dir="2700000" algn="tl" rotWithShape="0">
          <a:schemeClr val="phClr">
            <a:lumMod val="75000"/>
            <a:alpha val="40000"/>
          </a:schemeClr>
        </a:outerShdw>
      </a:effectLst>
    </cs:spPr>
    <cs:defRPr sz="1000" b="0" i="0" u="none" strike="noStrike" kern="1200" baseline="0">
      <a:effectLst/>
    </cs:defRPr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>
          <a:alpha val="70000"/>
        </a:schemeClr>
      </a:solidFill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tx1"/>
    </cs:fontRef>
    <cs:spPr>
      <a:solidFill>
        <a:schemeClr val="phClr">
          <a:alpha val="90000"/>
        </a:schemeClr>
      </a:solidFill>
      <a:ln w="19050">
        <a:solidFill>
          <a:schemeClr val="phClr">
            <a:lumMod val="75000"/>
          </a:schemeClr>
        </a:solidFill>
      </a:ln>
      <a:effectLst>
        <a:innerShdw blurRad="114300">
          <a:schemeClr val="phClr">
            <a:lumMod val="75000"/>
          </a:schemeClr>
        </a:innerShdw>
      </a:effectLst>
      <a:scene3d>
        <a:camera prst="orthographicFront"/>
        <a:lightRig rig="threePt" dir="t"/>
      </a:scene3d>
      <a:sp3d contourW="19050" prstMaterial="flat">
        <a:contourClr>
          <a:schemeClr val="accent4">
            <a:lumMod val="75000"/>
          </a:schemeClr>
        </a:contourClr>
      </a:sp3d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800" b="1" kern="1200" cap="all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Graphiques!A1"/><Relationship Id="rId2" Type="http://schemas.openxmlformats.org/officeDocument/2006/relationships/hyperlink" Target="#Configurations!A1"/><Relationship Id="rId1" Type="http://schemas.openxmlformats.org/officeDocument/2006/relationships/hyperlink" Target="#Saisie!A1"/><Relationship Id="rId4" Type="http://schemas.openxmlformats.org/officeDocument/2006/relationships/hyperlink" Target="#Journal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Graphiques!A1"/><Relationship Id="rId2" Type="http://schemas.openxmlformats.org/officeDocument/2006/relationships/hyperlink" Target="#Configurations!A1"/><Relationship Id="rId1" Type="http://schemas.openxmlformats.org/officeDocument/2006/relationships/hyperlink" Target="#Saisie!A1"/><Relationship Id="rId4" Type="http://schemas.openxmlformats.org/officeDocument/2006/relationships/hyperlink" Target="#Journal!A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Graphiques!A1"/><Relationship Id="rId7" Type="http://schemas.openxmlformats.org/officeDocument/2006/relationships/chart" Target="../charts/chart3.xml"/><Relationship Id="rId2" Type="http://schemas.openxmlformats.org/officeDocument/2006/relationships/hyperlink" Target="#Configurations!A1"/><Relationship Id="rId1" Type="http://schemas.openxmlformats.org/officeDocument/2006/relationships/hyperlink" Target="#Saisie!A1"/><Relationship Id="rId6" Type="http://schemas.openxmlformats.org/officeDocument/2006/relationships/chart" Target="../charts/chart2.xml"/><Relationship Id="rId5" Type="http://schemas.openxmlformats.org/officeDocument/2006/relationships/chart" Target="../charts/chart1.xml"/><Relationship Id="rId4" Type="http://schemas.openxmlformats.org/officeDocument/2006/relationships/hyperlink" Target="#Journal!A1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Graphiques!A1"/><Relationship Id="rId2" Type="http://schemas.openxmlformats.org/officeDocument/2006/relationships/hyperlink" Target="#Configurations!A1"/><Relationship Id="rId1" Type="http://schemas.openxmlformats.org/officeDocument/2006/relationships/hyperlink" Target="#Saisie!A1"/><Relationship Id="rId4" Type="http://schemas.openxmlformats.org/officeDocument/2006/relationships/hyperlink" Target="#Journal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102396</xdr:colOff>
      <xdr:row>0</xdr:row>
      <xdr:rowOff>178743</xdr:rowOff>
    </xdr:from>
    <xdr:to>
      <xdr:col>1</xdr:col>
      <xdr:colOff>1970</xdr:colOff>
      <xdr:row>1</xdr:row>
      <xdr:rowOff>234977</xdr:rowOff>
    </xdr:to>
    <xdr:sp macro="" textlink="">
      <xdr:nvSpPr>
        <xdr:cNvPr id="5" name="Journal de formation" descr="&quot;&quot;" title="Bouton de navigation parmi le journal de formati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 rot="16200000">
          <a:off x="-93917" y="375056"/>
          <a:ext cx="812637" cy="420012"/>
        </a:xfrm>
        <a:prstGeom prst="round2SameRect">
          <a:avLst/>
        </a:prstGeom>
        <a:solidFill>
          <a:schemeClr val="accent1"/>
        </a:solidFill>
        <a:ln w="6350">
          <a:noFill/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marL="0" indent="0" algn="ctr"/>
          <a:r>
            <a:rPr lang="en-US" sz="1100" b="1">
              <a:solidFill>
                <a:schemeClr val="tx1">
                  <a:lumMod val="75000"/>
                  <a:lumOff val="25000"/>
                </a:schemeClr>
              </a:solidFill>
              <a:latin typeface="+mj-lt"/>
              <a:ea typeface="+mn-ea"/>
              <a:cs typeface="+mn-cs"/>
            </a:rPr>
            <a:t>Saisie</a:t>
          </a:r>
        </a:p>
      </xdr:txBody>
    </xdr:sp>
    <xdr:clientData fPrintsWithSheet="0"/>
  </xdr:twoCellAnchor>
  <xdr:twoCellAnchor editAs="absolute">
    <xdr:from>
      <xdr:col>0</xdr:col>
      <xdr:colOff>102396</xdr:colOff>
      <xdr:row>1</xdr:row>
      <xdr:rowOff>2333130</xdr:rowOff>
    </xdr:from>
    <xdr:to>
      <xdr:col>1</xdr:col>
      <xdr:colOff>1969</xdr:colOff>
      <xdr:row>3</xdr:row>
      <xdr:rowOff>306739</xdr:rowOff>
    </xdr:to>
    <xdr:sp macro="" textlink="">
      <xdr:nvSpPr>
        <xdr:cNvPr id="12" name="Liste des cours" descr="&quot;&quot;" title="Bouton de navigation parmi la liste des cours">
          <a:hlinkClick xmlns:r="http://schemas.openxmlformats.org/officeDocument/2006/relationships" r:id="rId2" tooltip="Cliquer pour afficher la liste des cours"/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 rot="16200000">
          <a:off x="-136490" y="3336275"/>
          <a:ext cx="897784" cy="420011"/>
        </a:xfrm>
        <a:prstGeom prst="round2SameRect">
          <a:avLst/>
        </a:prstGeom>
        <a:solidFill>
          <a:schemeClr val="tx1">
            <a:lumMod val="75000"/>
            <a:lumOff val="25000"/>
          </a:schemeClr>
        </a:solidFill>
        <a:ln w="6350">
          <a:noFill/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100" b="1">
              <a:solidFill>
                <a:schemeClr val="bg1">
                  <a:lumMod val="75000"/>
                </a:schemeClr>
              </a:solidFill>
              <a:latin typeface="+mj-lt"/>
            </a:rPr>
            <a:t>Config</a:t>
          </a:r>
        </a:p>
      </xdr:txBody>
    </xdr:sp>
    <xdr:clientData fPrintsWithSheet="0"/>
  </xdr:twoCellAnchor>
  <xdr:twoCellAnchor editAs="absolute">
    <xdr:from>
      <xdr:col>0</xdr:col>
      <xdr:colOff>97888</xdr:colOff>
      <xdr:row>1</xdr:row>
      <xdr:rowOff>1305793</xdr:rowOff>
    </xdr:from>
    <xdr:to>
      <xdr:col>1</xdr:col>
      <xdr:colOff>1970</xdr:colOff>
      <xdr:row>1</xdr:row>
      <xdr:rowOff>2244649</xdr:rowOff>
    </xdr:to>
    <xdr:sp macro="" textlink="">
      <xdr:nvSpPr>
        <xdr:cNvPr id="13" name="Liste des cours" descr="&quot;&quot;" title="Bouton de navigation parmi la liste des cours">
          <a:hlinkClick xmlns:r="http://schemas.openxmlformats.org/officeDocument/2006/relationships" r:id="rId3" tooltip="Cliquer pour afficher la liste des cours"/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 rot="16200000">
          <a:off x="-161244" y="2325256"/>
          <a:ext cx="942784" cy="424520"/>
        </a:xfrm>
        <a:prstGeom prst="round2SameRect">
          <a:avLst/>
        </a:prstGeom>
        <a:solidFill>
          <a:schemeClr val="tx1">
            <a:lumMod val="75000"/>
            <a:lumOff val="25000"/>
          </a:schemeClr>
        </a:solidFill>
        <a:ln w="6350">
          <a:noFill/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100" b="1">
              <a:solidFill>
                <a:schemeClr val="bg1">
                  <a:lumMod val="75000"/>
                </a:schemeClr>
              </a:solidFill>
              <a:latin typeface="+mj-lt"/>
            </a:rPr>
            <a:t>Graphiques</a:t>
          </a:r>
        </a:p>
      </xdr:txBody>
    </xdr:sp>
    <xdr:clientData fPrintsWithSheet="0"/>
  </xdr:twoCellAnchor>
  <xdr:twoCellAnchor editAs="absolute">
    <xdr:from>
      <xdr:col>2</xdr:col>
      <xdr:colOff>63337</xdr:colOff>
      <xdr:row>1</xdr:row>
      <xdr:rowOff>228205</xdr:rowOff>
    </xdr:from>
    <xdr:to>
      <xdr:col>3</xdr:col>
      <xdr:colOff>36235</xdr:colOff>
      <xdr:row>1</xdr:row>
      <xdr:rowOff>2633349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3" name="Type">
              <a:extLst>
                <a:ext uri="{FF2B5EF4-FFF2-40B4-BE49-F238E27FC236}">
                  <a16:creationId xmlns:a16="http://schemas.microsoft.com/office/drawing/2014/main" id="{00000000-0008-0000-00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yp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25337" y="980680"/>
              <a:ext cx="1830273" cy="240514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 de table. Les segments de table sont pris en charge dans Excel ou version ultérieure.
En revanche, si la forme a été modifiée dans une version précédente d’Excel, ou si le classeur a été enregistré dans Excel 2007 ou une version précédente, vous ne pouvez pas utiliser le segment.</a:t>
              </a:r>
            </a:p>
          </xdr:txBody>
        </xdr:sp>
      </mc:Fallback>
    </mc:AlternateContent>
    <xdr:clientData/>
  </xdr:twoCellAnchor>
  <xdr:twoCellAnchor editAs="absolute">
    <xdr:from>
      <xdr:col>3</xdr:col>
      <xdr:colOff>84613</xdr:colOff>
      <xdr:row>1</xdr:row>
      <xdr:rowOff>228205</xdr:rowOff>
    </xdr:from>
    <xdr:to>
      <xdr:col>5</xdr:col>
      <xdr:colOff>283361</xdr:colOff>
      <xdr:row>1</xdr:row>
      <xdr:rowOff>2633349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6" name="Matière">
              <a:extLst>
                <a:ext uri="{FF2B5EF4-FFF2-40B4-BE49-F238E27FC236}">
                  <a16:creationId xmlns:a16="http://schemas.microsoft.com/office/drawing/2014/main" id="{00000000-0008-0000-0000-000006000000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atièr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703988" y="980680"/>
              <a:ext cx="1827523" cy="240514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 de table. Les segments de table sont pris en charge dans Excel ou version ultérieure.
En revanche, si la forme a été modifiée dans une version précédente d’Excel, ou si le classeur a été enregistré dans Excel 2007 ou une version précédente, vous ne pouvez pas utiliser le segment.</a:t>
              </a:r>
            </a:p>
          </xdr:txBody>
        </xdr:sp>
      </mc:Fallback>
    </mc:AlternateContent>
    <xdr:clientData/>
  </xdr:twoCellAnchor>
  <xdr:twoCellAnchor editAs="absolute">
    <xdr:from>
      <xdr:col>5</xdr:col>
      <xdr:colOff>331739</xdr:colOff>
      <xdr:row>1</xdr:row>
      <xdr:rowOff>228205</xdr:rowOff>
    </xdr:from>
    <xdr:to>
      <xdr:col>7</xdr:col>
      <xdr:colOff>393013</xdr:colOff>
      <xdr:row>1</xdr:row>
      <xdr:rowOff>2633349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7" name="Tâche">
              <a:extLst>
                <a:ext uri="{FF2B5EF4-FFF2-40B4-BE49-F238E27FC236}">
                  <a16:creationId xmlns:a16="http://schemas.microsoft.com/office/drawing/2014/main" id="{00000000-0008-0000-0000-000007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âch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579889" y="980680"/>
              <a:ext cx="1832924" cy="240514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 de table. Les segments de table sont pris en charge dans Excel ou version ultérieure.
En revanche, si la forme a été modifiée dans une version précédente d’Excel, ou si le classeur a été enregistré dans Excel 2007 ou une version précédente, vous ne pouvez pas utiliser le segment.</a:t>
              </a:r>
            </a:p>
          </xdr:txBody>
        </xdr:sp>
      </mc:Fallback>
    </mc:AlternateContent>
    <xdr:clientData/>
  </xdr:twoCellAnchor>
  <xdr:twoCellAnchor editAs="absolute">
    <xdr:from>
      <xdr:col>7</xdr:col>
      <xdr:colOff>441390</xdr:colOff>
      <xdr:row>1</xdr:row>
      <xdr:rowOff>228205</xdr:rowOff>
    </xdr:from>
    <xdr:to>
      <xdr:col>9</xdr:col>
      <xdr:colOff>211710</xdr:colOff>
      <xdr:row>1</xdr:row>
      <xdr:rowOff>2633349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8" name="Activité">
              <a:extLst>
                <a:ext uri="{FF2B5EF4-FFF2-40B4-BE49-F238E27FC236}">
                  <a16:creationId xmlns:a16="http://schemas.microsoft.com/office/drawing/2014/main" id="{00000000-0008-0000-0000-000008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ctivité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461190" y="980680"/>
              <a:ext cx="1827720" cy="240514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 de table. Les segments de table sont pris en charge dans Excel ou version ultérieure.
En revanche, si la forme a été modifiée dans une version précédente d’Excel, ou si le classeur a été enregistré dans Excel 2007 ou une version précédente, vous ne pouvez pas utiliser le segment.</a:t>
              </a:r>
            </a:p>
          </xdr:txBody>
        </xdr:sp>
      </mc:Fallback>
    </mc:AlternateContent>
    <xdr:clientData/>
  </xdr:twoCellAnchor>
  <xdr:twoCellAnchor editAs="absolute">
    <xdr:from>
      <xdr:col>0</xdr:col>
      <xdr:colOff>102396</xdr:colOff>
      <xdr:row>1</xdr:row>
      <xdr:rowOff>323457</xdr:rowOff>
    </xdr:from>
    <xdr:to>
      <xdr:col>1</xdr:col>
      <xdr:colOff>1969</xdr:colOff>
      <xdr:row>1</xdr:row>
      <xdr:rowOff>1217313</xdr:rowOff>
    </xdr:to>
    <xdr:sp macro="" textlink="">
      <xdr:nvSpPr>
        <xdr:cNvPr id="15" name="Liste des cours" descr="&quot;&quot;" title="Bouton de navigation parmi la liste des cours">
          <a:hlinkClick xmlns:r="http://schemas.openxmlformats.org/officeDocument/2006/relationships" r:id="rId4" tooltip="Cliquer pour afficher la liste des cours"/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 rot="16200000">
          <a:off x="-136490" y="1318746"/>
          <a:ext cx="897784" cy="420011"/>
        </a:xfrm>
        <a:prstGeom prst="round2SameRect">
          <a:avLst/>
        </a:prstGeom>
        <a:solidFill>
          <a:schemeClr val="tx1">
            <a:lumMod val="75000"/>
            <a:lumOff val="25000"/>
          </a:schemeClr>
        </a:solidFill>
        <a:ln w="6350">
          <a:noFill/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100" b="1">
              <a:solidFill>
                <a:schemeClr val="bg1">
                  <a:lumMod val="75000"/>
                </a:schemeClr>
              </a:solidFill>
              <a:latin typeface="+mj-lt"/>
            </a:rPr>
            <a:t>Journal</a:t>
          </a:r>
        </a:p>
      </xdr:txBody>
    </xdr: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99758</xdr:colOff>
      <xdr:row>0</xdr:row>
      <xdr:rowOff>171449</xdr:rowOff>
    </xdr:from>
    <xdr:to>
      <xdr:col>0</xdr:col>
      <xdr:colOff>519770</xdr:colOff>
      <xdr:row>2</xdr:row>
      <xdr:rowOff>87907</xdr:rowOff>
    </xdr:to>
    <xdr:sp macro="" textlink="">
      <xdr:nvSpPr>
        <xdr:cNvPr id="7" name="Journal de formation" descr="&quot;&quot;" title="Bouton de navigation parmi le journal de formati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 rot="16200000">
          <a:off x="-96555" y="367762"/>
          <a:ext cx="812637" cy="420012"/>
        </a:xfrm>
        <a:prstGeom prst="round2SameRect">
          <a:avLst/>
        </a:prstGeom>
        <a:solidFill>
          <a:schemeClr val="tx1">
            <a:lumMod val="75000"/>
            <a:lumOff val="25000"/>
          </a:schemeClr>
        </a:solidFill>
        <a:ln w="6350">
          <a:noFill/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marL="0" indent="0" algn="ctr"/>
          <a:r>
            <a:rPr lang="en-US" sz="1100" b="1">
              <a:ln>
                <a:noFill/>
              </a:ln>
              <a:solidFill>
                <a:schemeClr val="bg1">
                  <a:lumMod val="75000"/>
                </a:schemeClr>
              </a:solidFill>
              <a:latin typeface="+mj-lt"/>
              <a:ea typeface="+mn-ea"/>
              <a:cs typeface="+mn-cs"/>
            </a:rPr>
            <a:t>Saisie</a:t>
          </a:r>
        </a:p>
      </xdr:txBody>
    </xdr:sp>
    <xdr:clientData fPrintsWithSheet="0"/>
  </xdr:twoCellAnchor>
  <xdr:twoCellAnchor editAs="absolute">
    <xdr:from>
      <xdr:col>0</xdr:col>
      <xdr:colOff>99758</xdr:colOff>
      <xdr:row>14</xdr:row>
      <xdr:rowOff>39334</xdr:rowOff>
    </xdr:from>
    <xdr:to>
      <xdr:col>0</xdr:col>
      <xdr:colOff>519769</xdr:colOff>
      <xdr:row>19</xdr:row>
      <xdr:rowOff>32243</xdr:rowOff>
    </xdr:to>
    <xdr:sp macro="" textlink="">
      <xdr:nvSpPr>
        <xdr:cNvPr id="8" name="Liste des cours" descr="&quot;&quot;" title="Bouton de navigation parmi la liste des cours">
          <a:hlinkClick xmlns:r="http://schemas.openxmlformats.org/officeDocument/2006/relationships" r:id="rId2" tooltip="Cliquer pour afficher la liste des cours"/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 rot="16200000">
          <a:off x="-139128" y="3328981"/>
          <a:ext cx="897784" cy="420011"/>
        </a:xfrm>
        <a:prstGeom prst="round2SameRect">
          <a:avLst/>
        </a:prstGeom>
        <a:solidFill>
          <a:schemeClr val="tx1">
            <a:lumMod val="75000"/>
            <a:lumOff val="25000"/>
          </a:schemeClr>
        </a:solidFill>
        <a:ln w="6350">
          <a:noFill/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100" b="1">
              <a:solidFill>
                <a:schemeClr val="bg1">
                  <a:lumMod val="75000"/>
                </a:schemeClr>
              </a:solidFill>
              <a:latin typeface="+mj-lt"/>
            </a:rPr>
            <a:t>Config</a:t>
          </a:r>
        </a:p>
      </xdr:txBody>
    </xdr:sp>
    <xdr:clientData fPrintsWithSheet="0"/>
  </xdr:twoCellAnchor>
  <xdr:twoCellAnchor editAs="absolute">
    <xdr:from>
      <xdr:col>0</xdr:col>
      <xdr:colOff>95250</xdr:colOff>
      <xdr:row>8</xdr:row>
      <xdr:rowOff>87569</xdr:rowOff>
    </xdr:from>
    <xdr:to>
      <xdr:col>0</xdr:col>
      <xdr:colOff>519770</xdr:colOff>
      <xdr:row>13</xdr:row>
      <xdr:rowOff>133070</xdr:rowOff>
    </xdr:to>
    <xdr:sp macro="" textlink="">
      <xdr:nvSpPr>
        <xdr:cNvPr id="9" name="Liste des cours" descr="&quot;&quot;" title="Bouton de navigation parmi la liste des cours">
          <a:hlinkClick xmlns:r="http://schemas.openxmlformats.org/officeDocument/2006/relationships" r:id="rId3" tooltip="Cliquer pour afficher la liste des cours"/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 rot="16200000">
          <a:off x="-163882" y="2317962"/>
          <a:ext cx="942784" cy="424520"/>
        </a:xfrm>
        <a:prstGeom prst="round2SameRect">
          <a:avLst/>
        </a:prstGeom>
        <a:solidFill>
          <a:schemeClr val="tx1">
            <a:lumMod val="75000"/>
            <a:lumOff val="25000"/>
          </a:schemeClr>
        </a:solidFill>
        <a:ln>
          <a:noFill/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100" b="1">
              <a:solidFill>
                <a:schemeClr val="bg1">
                  <a:lumMod val="65000"/>
                </a:schemeClr>
              </a:solidFill>
              <a:latin typeface="+mj-lt"/>
            </a:rPr>
            <a:t>Graphiques</a:t>
          </a:r>
        </a:p>
      </xdr:txBody>
    </xdr:sp>
    <xdr:clientData fPrintsWithSheet="0"/>
  </xdr:twoCellAnchor>
  <xdr:twoCellAnchor editAs="absolute">
    <xdr:from>
      <xdr:col>0</xdr:col>
      <xdr:colOff>99758</xdr:colOff>
      <xdr:row>3</xdr:row>
      <xdr:rowOff>1763</xdr:rowOff>
    </xdr:from>
    <xdr:to>
      <xdr:col>0</xdr:col>
      <xdr:colOff>519769</xdr:colOff>
      <xdr:row>8</xdr:row>
      <xdr:rowOff>5439</xdr:rowOff>
    </xdr:to>
    <xdr:sp macro="" textlink="">
      <xdr:nvSpPr>
        <xdr:cNvPr id="10" name="Liste des cours" descr="&quot;&quot;" title="Bouton de navigation parmi la liste des cours">
          <a:hlinkClick xmlns:r="http://schemas.openxmlformats.org/officeDocument/2006/relationships" r:id="rId4" tooltip="Cliquer pour afficher la liste des cours"/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 rot="16200000">
          <a:off x="-139128" y="1311452"/>
          <a:ext cx="897784" cy="420011"/>
        </a:xfrm>
        <a:prstGeom prst="round2SameRect">
          <a:avLst/>
        </a:prstGeom>
        <a:ln/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100" b="1">
              <a:solidFill>
                <a:schemeClr val="bg1">
                  <a:lumMod val="75000"/>
                </a:schemeClr>
              </a:solidFill>
              <a:latin typeface="+mj-lt"/>
            </a:rPr>
            <a:t>Journal</a:t>
          </a:r>
        </a:p>
      </xdr:txBody>
    </xdr: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99759</xdr:colOff>
      <xdr:row>0</xdr:row>
      <xdr:rowOff>180975</xdr:rowOff>
    </xdr:from>
    <xdr:to>
      <xdr:col>0</xdr:col>
      <xdr:colOff>519771</xdr:colOff>
      <xdr:row>3</xdr:row>
      <xdr:rowOff>99971</xdr:rowOff>
    </xdr:to>
    <xdr:sp macro="" textlink="">
      <xdr:nvSpPr>
        <xdr:cNvPr id="11" name="Journal de formation" descr="&quot;&quot;" title="Bouton de navigation parmi le journal de formati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SpPr/>
      </xdr:nvSpPr>
      <xdr:spPr>
        <a:xfrm rot="16200000">
          <a:off x="-96554" y="377288"/>
          <a:ext cx="812637" cy="420012"/>
        </a:xfrm>
        <a:prstGeom prst="round2SameRect">
          <a:avLst/>
        </a:prstGeom>
        <a:solidFill>
          <a:schemeClr val="tx1">
            <a:lumMod val="75000"/>
            <a:lumOff val="25000"/>
          </a:schemeClr>
        </a:solidFill>
        <a:ln w="6350">
          <a:noFill/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marL="0" indent="0" algn="ctr"/>
          <a:r>
            <a:rPr lang="en-US" sz="1100" b="1">
              <a:ln>
                <a:noFill/>
              </a:ln>
              <a:solidFill>
                <a:schemeClr val="bg1">
                  <a:lumMod val="75000"/>
                </a:schemeClr>
              </a:solidFill>
              <a:latin typeface="+mj-lt"/>
              <a:ea typeface="+mn-ea"/>
              <a:cs typeface="+mn-cs"/>
            </a:rPr>
            <a:t>Saisie</a:t>
          </a:r>
        </a:p>
      </xdr:txBody>
    </xdr:sp>
    <xdr:clientData fPrintsWithSheet="0"/>
  </xdr:twoCellAnchor>
  <xdr:twoCellAnchor editAs="absolute">
    <xdr:from>
      <xdr:col>0</xdr:col>
      <xdr:colOff>99759</xdr:colOff>
      <xdr:row>11</xdr:row>
      <xdr:rowOff>106573</xdr:rowOff>
    </xdr:from>
    <xdr:to>
      <xdr:col>0</xdr:col>
      <xdr:colOff>519770</xdr:colOff>
      <xdr:row>14</xdr:row>
      <xdr:rowOff>213049</xdr:rowOff>
    </xdr:to>
    <xdr:sp macro="" textlink="">
      <xdr:nvSpPr>
        <xdr:cNvPr id="12" name="Liste des cours" descr="&quot;&quot;" title="Bouton de navigation parmi la liste des cours">
          <a:hlinkClick xmlns:r="http://schemas.openxmlformats.org/officeDocument/2006/relationships" r:id="rId2" tooltip="Cliquer pour afficher la liste des cours"/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/>
      </xdr:nvSpPr>
      <xdr:spPr>
        <a:xfrm rot="16200000">
          <a:off x="-139127" y="3338507"/>
          <a:ext cx="897784" cy="420011"/>
        </a:xfrm>
        <a:prstGeom prst="round2SameRect">
          <a:avLst/>
        </a:prstGeom>
        <a:solidFill>
          <a:schemeClr val="tx1">
            <a:lumMod val="75000"/>
            <a:lumOff val="25000"/>
          </a:schemeClr>
        </a:solidFill>
        <a:ln w="6350">
          <a:noFill/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100" b="1">
              <a:solidFill>
                <a:schemeClr val="bg1">
                  <a:lumMod val="75000"/>
                </a:schemeClr>
              </a:solidFill>
              <a:latin typeface="+mj-lt"/>
            </a:rPr>
            <a:t>Config</a:t>
          </a:r>
        </a:p>
      </xdr:txBody>
    </xdr:sp>
    <xdr:clientData fPrintsWithSheet="0"/>
  </xdr:twoCellAnchor>
  <xdr:twoCellAnchor editAs="absolute">
    <xdr:from>
      <xdr:col>0</xdr:col>
      <xdr:colOff>95251</xdr:colOff>
      <xdr:row>7</xdr:row>
      <xdr:rowOff>121837</xdr:rowOff>
    </xdr:from>
    <xdr:to>
      <xdr:col>0</xdr:col>
      <xdr:colOff>519771</xdr:colOff>
      <xdr:row>11</xdr:row>
      <xdr:rowOff>18092</xdr:rowOff>
    </xdr:to>
    <xdr:sp macro="" textlink="">
      <xdr:nvSpPr>
        <xdr:cNvPr id="13" name="Liste des cours" descr="&quot;&quot;" title="Bouton de navigation parmi la liste des cours">
          <a:hlinkClick xmlns:r="http://schemas.openxmlformats.org/officeDocument/2006/relationships" r:id="rId3" tooltip="Cliquer pour afficher la liste des cours"/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/>
      </xdr:nvSpPr>
      <xdr:spPr>
        <a:xfrm rot="16200000">
          <a:off x="-163881" y="2327488"/>
          <a:ext cx="942784" cy="424520"/>
        </a:xfrm>
        <a:prstGeom prst="round2SameRect">
          <a:avLst/>
        </a:prstGeom>
        <a:solidFill>
          <a:schemeClr val="accent3">
            <a:lumMod val="75000"/>
          </a:schemeClr>
        </a:solidFill>
        <a:ln w="6350">
          <a:noFill/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100" b="1">
              <a:solidFill>
                <a:schemeClr val="bg1">
                  <a:lumMod val="95000"/>
                </a:schemeClr>
              </a:solidFill>
              <a:latin typeface="+mj-lt"/>
            </a:rPr>
            <a:t>Graphiques</a:t>
          </a:r>
        </a:p>
      </xdr:txBody>
    </xdr:sp>
    <xdr:clientData fPrintsWithSheet="0"/>
  </xdr:twoCellAnchor>
  <xdr:twoCellAnchor editAs="absolute">
    <xdr:from>
      <xdr:col>0</xdr:col>
      <xdr:colOff>99759</xdr:colOff>
      <xdr:row>3</xdr:row>
      <xdr:rowOff>188451</xdr:rowOff>
    </xdr:from>
    <xdr:to>
      <xdr:col>0</xdr:col>
      <xdr:colOff>519770</xdr:colOff>
      <xdr:row>7</xdr:row>
      <xdr:rowOff>39707</xdr:rowOff>
    </xdr:to>
    <xdr:sp macro="" textlink="">
      <xdr:nvSpPr>
        <xdr:cNvPr id="14" name="Liste des cours" descr="&quot;&quot;" title="Bouton de navigation parmi la liste des cours">
          <a:hlinkClick xmlns:r="http://schemas.openxmlformats.org/officeDocument/2006/relationships" r:id="rId4" tooltip="Cliquer pour afficher la liste des cours"/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/>
      </xdr:nvSpPr>
      <xdr:spPr>
        <a:xfrm rot="16200000">
          <a:off x="-139127" y="1320978"/>
          <a:ext cx="897784" cy="420011"/>
        </a:xfrm>
        <a:prstGeom prst="round2SameRect">
          <a:avLst/>
        </a:prstGeom>
        <a:solidFill>
          <a:schemeClr val="tx1">
            <a:lumMod val="75000"/>
            <a:lumOff val="25000"/>
          </a:schemeClr>
        </a:solidFill>
        <a:ln>
          <a:noFill/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100" b="1">
              <a:solidFill>
                <a:schemeClr val="bg1">
                  <a:lumMod val="75000"/>
                </a:schemeClr>
              </a:solidFill>
              <a:latin typeface="+mj-lt"/>
            </a:rPr>
            <a:t>Journal</a:t>
          </a:r>
        </a:p>
      </xdr:txBody>
    </xdr:sp>
    <xdr:clientData fPrintsWithSheet="0"/>
  </xdr:twoCellAnchor>
  <xdr:twoCellAnchor>
    <xdr:from>
      <xdr:col>1</xdr:col>
      <xdr:colOff>129687</xdr:colOff>
      <xdr:row>4</xdr:row>
      <xdr:rowOff>52754</xdr:rowOff>
    </xdr:from>
    <xdr:to>
      <xdr:col>8</xdr:col>
      <xdr:colOff>1382590</xdr:colOff>
      <xdr:row>27</xdr:row>
      <xdr:rowOff>235927</xdr:rowOff>
    </xdr:to>
    <xdr:graphicFrame macro="">
      <xdr:nvGraphicFramePr>
        <xdr:cNvPr id="7" name="TMP_matières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126878</xdr:colOff>
      <xdr:row>34</xdr:row>
      <xdr:rowOff>244962</xdr:rowOff>
    </xdr:from>
    <xdr:to>
      <xdr:col>8</xdr:col>
      <xdr:colOff>1487366</xdr:colOff>
      <xdr:row>54</xdr:row>
      <xdr:rowOff>145074</xdr:rowOff>
    </xdr:to>
    <xdr:graphicFrame macro="">
      <xdr:nvGraphicFramePr>
        <xdr:cNvPr id="15" name="TMP_activités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4762</xdr:colOff>
      <xdr:row>61</xdr:row>
      <xdr:rowOff>152399</xdr:rowOff>
    </xdr:from>
    <xdr:to>
      <xdr:col>8</xdr:col>
      <xdr:colOff>1409700</xdr:colOff>
      <xdr:row>86</xdr:row>
      <xdr:rowOff>85724</xdr:rowOff>
    </xdr:to>
    <xdr:graphicFrame macro="">
      <xdr:nvGraphicFramePr>
        <xdr:cNvPr id="2" name="Absences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99758</xdr:colOff>
      <xdr:row>0</xdr:row>
      <xdr:rowOff>171450</xdr:rowOff>
    </xdr:from>
    <xdr:to>
      <xdr:col>0</xdr:col>
      <xdr:colOff>519770</xdr:colOff>
      <xdr:row>3</xdr:row>
      <xdr:rowOff>183987</xdr:rowOff>
    </xdr:to>
    <xdr:sp macro="" textlink="">
      <xdr:nvSpPr>
        <xdr:cNvPr id="11" name="Journal de formation" descr="&quot;&quot;" title="Bouton de navigation parmi le journal de formati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 rot="16200000">
          <a:off x="-96555" y="367763"/>
          <a:ext cx="812637" cy="420012"/>
        </a:xfrm>
        <a:prstGeom prst="round2SameRect">
          <a:avLst/>
        </a:prstGeom>
        <a:solidFill>
          <a:schemeClr val="tx1">
            <a:lumMod val="75000"/>
            <a:lumOff val="25000"/>
          </a:schemeClr>
        </a:solidFill>
        <a:ln w="6350">
          <a:noFill/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marL="0" indent="0" algn="ctr"/>
          <a:r>
            <a:rPr lang="en-US" sz="1100" b="1">
              <a:ln>
                <a:noFill/>
              </a:ln>
              <a:solidFill>
                <a:schemeClr val="bg1">
                  <a:lumMod val="75000"/>
                </a:schemeClr>
              </a:solidFill>
              <a:latin typeface="+mj-lt"/>
              <a:ea typeface="+mn-ea"/>
              <a:cs typeface="+mn-cs"/>
            </a:rPr>
            <a:t>Saisie</a:t>
          </a:r>
        </a:p>
      </xdr:txBody>
    </xdr:sp>
    <xdr:clientData fPrintsWithSheet="0"/>
  </xdr:twoCellAnchor>
  <xdr:twoCellAnchor editAs="absolute">
    <xdr:from>
      <xdr:col>0</xdr:col>
      <xdr:colOff>99758</xdr:colOff>
      <xdr:row>15</xdr:row>
      <xdr:rowOff>3996</xdr:rowOff>
    </xdr:from>
    <xdr:to>
      <xdr:col>0</xdr:col>
      <xdr:colOff>519769</xdr:colOff>
      <xdr:row>18</xdr:row>
      <xdr:rowOff>35005</xdr:rowOff>
    </xdr:to>
    <xdr:sp macro="" textlink="">
      <xdr:nvSpPr>
        <xdr:cNvPr id="12" name="Liste des cours" descr="&quot;&quot;" title="Bouton de navigation parmi la liste des cours">
          <a:hlinkClick xmlns:r="http://schemas.openxmlformats.org/officeDocument/2006/relationships" r:id="rId2" tooltip="Cliquer pour afficher la liste des cours"/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/>
      </xdr:nvSpPr>
      <xdr:spPr>
        <a:xfrm rot="16200000">
          <a:off x="-139128" y="3328982"/>
          <a:ext cx="897784" cy="420011"/>
        </a:xfrm>
        <a:prstGeom prst="round2SameRect">
          <a:avLst/>
        </a:prstGeom>
        <a:solidFill>
          <a:schemeClr val="accent5">
            <a:lumMod val="50000"/>
          </a:schemeClr>
        </a:solidFill>
        <a:ln w="6350">
          <a:noFill/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100" b="1">
              <a:solidFill>
                <a:schemeClr val="bg1">
                  <a:lumMod val="75000"/>
                </a:schemeClr>
              </a:solidFill>
              <a:latin typeface="+mj-lt"/>
            </a:rPr>
            <a:t>Config</a:t>
          </a:r>
        </a:p>
      </xdr:txBody>
    </xdr:sp>
    <xdr:clientData fPrintsWithSheet="0"/>
  </xdr:twoCellAnchor>
  <xdr:twoCellAnchor editAs="absolute">
    <xdr:from>
      <xdr:col>0</xdr:col>
      <xdr:colOff>95250</xdr:colOff>
      <xdr:row>9</xdr:row>
      <xdr:rowOff>115731</xdr:rowOff>
    </xdr:from>
    <xdr:to>
      <xdr:col>0</xdr:col>
      <xdr:colOff>519770</xdr:colOff>
      <xdr:row>14</xdr:row>
      <xdr:rowOff>106015</xdr:rowOff>
    </xdr:to>
    <xdr:sp macro="" textlink="">
      <xdr:nvSpPr>
        <xdr:cNvPr id="13" name="Liste des cours" descr="&quot;&quot;" title="Bouton de navigation parmi la liste des cours">
          <a:hlinkClick xmlns:r="http://schemas.openxmlformats.org/officeDocument/2006/relationships" r:id="rId3" tooltip="Cliquer pour afficher la liste des cours"/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/>
      </xdr:nvSpPr>
      <xdr:spPr>
        <a:xfrm rot="16200000">
          <a:off x="-163882" y="2317963"/>
          <a:ext cx="942784" cy="424520"/>
        </a:xfrm>
        <a:prstGeom prst="round2SameRect">
          <a:avLst/>
        </a:prstGeom>
        <a:solidFill>
          <a:schemeClr val="tx1">
            <a:lumMod val="75000"/>
            <a:lumOff val="25000"/>
          </a:schemeClr>
        </a:solidFill>
        <a:ln w="6350">
          <a:noFill/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100" b="1">
              <a:solidFill>
                <a:schemeClr val="bg1">
                  <a:lumMod val="75000"/>
                </a:schemeClr>
              </a:solidFill>
              <a:latin typeface="+mj-lt"/>
            </a:rPr>
            <a:t>Graphiques</a:t>
          </a:r>
        </a:p>
      </xdr:txBody>
    </xdr:sp>
    <xdr:clientData fPrintsWithSheet="0"/>
  </xdr:twoCellAnchor>
  <xdr:twoCellAnchor editAs="absolute">
    <xdr:from>
      <xdr:col>0</xdr:col>
      <xdr:colOff>99758</xdr:colOff>
      <xdr:row>4</xdr:row>
      <xdr:rowOff>81967</xdr:rowOff>
    </xdr:from>
    <xdr:to>
      <xdr:col>0</xdr:col>
      <xdr:colOff>519769</xdr:colOff>
      <xdr:row>9</xdr:row>
      <xdr:rowOff>27251</xdr:rowOff>
    </xdr:to>
    <xdr:sp macro="" textlink="">
      <xdr:nvSpPr>
        <xdr:cNvPr id="14" name="Liste des cours" descr="&quot;&quot;" title="Bouton de navigation parmi la liste des cours">
          <a:hlinkClick xmlns:r="http://schemas.openxmlformats.org/officeDocument/2006/relationships" r:id="rId4" tooltip="Cliquer pour afficher la liste des cours"/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SpPr/>
      </xdr:nvSpPr>
      <xdr:spPr>
        <a:xfrm rot="16200000">
          <a:off x="-139128" y="1311453"/>
          <a:ext cx="897784" cy="420011"/>
        </a:xfrm>
        <a:prstGeom prst="round2SameRect">
          <a:avLst/>
        </a:prstGeom>
        <a:solidFill>
          <a:schemeClr val="tx1">
            <a:lumMod val="75000"/>
            <a:lumOff val="25000"/>
          </a:schemeClr>
        </a:solidFill>
        <a:ln>
          <a:noFill/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100" b="1">
              <a:solidFill>
                <a:schemeClr val="bg1">
                  <a:lumMod val="75000"/>
                </a:schemeClr>
              </a:solidFill>
              <a:latin typeface="+mj-lt"/>
            </a:rPr>
            <a:t>Journal</a:t>
          </a:r>
        </a:p>
      </xdr:txBody>
    </xdr:sp>
    <xdr:clientData fPrintsWithSheet="0"/>
  </xdr:twoCellAnchor>
  <xdr:twoCellAnchor editAs="oneCell">
    <xdr:from>
      <xdr:col>3</xdr:col>
      <xdr:colOff>904875</xdr:colOff>
      <xdr:row>15</xdr:row>
      <xdr:rowOff>247650</xdr:rowOff>
    </xdr:from>
    <xdr:to>
      <xdr:col>4</xdr:col>
      <xdr:colOff>962025</xdr:colOff>
      <xdr:row>16</xdr:row>
      <xdr:rowOff>104775</xdr:rowOff>
    </xdr:to>
    <xdr:sp macro="" textlink="">
      <xdr:nvSpPr>
        <xdr:cNvPr id="4097" name="Button 1" hidden="1">
          <a:extLst>
            <a:ext uri="{63B3BB69-23CF-44E3-9099-C40C66FF867C}">
              <a14:compatExt xmlns:a14="http://schemas.microsoft.com/office/drawing/2010/main" spid="_x0000_s4097"/>
            </a:ext>
            <a:ext uri="{FF2B5EF4-FFF2-40B4-BE49-F238E27FC236}">
              <a16:creationId xmlns:a16="http://schemas.microsoft.com/office/drawing/2014/main" id="{00000000-0008-0000-0300-000001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32004" rIns="27432" bIns="32004" anchor="ctr" upright="1"/>
        <a:lstStyle/>
        <a:p>
          <a:pPr algn="ctr" rtl="0">
            <a:defRPr sz="1000"/>
          </a:pPr>
          <a:r>
            <a:rPr lang="fr-FR" sz="900" b="0" i="0" u="none" strike="noStrike" baseline="0">
              <a:solidFill>
                <a:srgbClr val="808080"/>
              </a:solidFill>
              <a:latin typeface="Century Gothic"/>
            </a:rPr>
            <a:t>MAJ Validations</a:t>
          </a:r>
        </a:p>
        <a:p>
          <a:pPr algn="ctr" rtl="0">
            <a:defRPr sz="1000"/>
          </a:pPr>
          <a:endParaRPr lang="fr-FR" sz="900" b="0" i="0" u="none" strike="noStrike" baseline="0">
            <a:solidFill>
              <a:srgbClr val="808080"/>
            </a:solidFill>
            <a:latin typeface="Century Gothic"/>
          </a:endParaRPr>
        </a:p>
      </xdr:txBody>
    </xdr:sp>
    <xdr:clientData fPrintsWithSheet="0"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eur" refreshedDate="43710.518425000002" createdVersion="6" refreshedVersion="6" minRefreshableVersion="3" recordCount="142" xr:uid="{00000000-000A-0000-FFFF-FFFF28000000}">
  <cacheSource type="worksheet">
    <worksheetSource name="Lignes_journal"/>
  </cacheSource>
  <cacheFields count="10">
    <cacheField name="Date" numFmtId="0">
      <sharedItems containsNonDate="0" containsDate="1" containsString="0" containsBlank="1" minDate="2019-08-19T00:00:00" maxDate="2019-08-21T00:00:00" count="3">
        <d v="2019-08-19T00:00:00"/>
        <d v="2019-08-20T00:00:00"/>
        <m/>
      </sharedItems>
      <fieldGroup par="8" base="0">
        <rangePr groupBy="days" startDate="2019-08-19T00:00:00" endDate="2019-08-21T00:00:00"/>
        <groupItems count="368">
          <s v="(vide)"/>
          <s v="01-Jan"/>
          <s v="02-Jan"/>
          <s v="03-Jan"/>
          <s v="04-Jan"/>
          <s v="05-Jan"/>
          <s v="06-Jan"/>
          <s v="07-Jan"/>
          <s v="08-Jan"/>
          <s v="0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01-Feb"/>
          <s v="02-Feb"/>
          <s v="03-Feb"/>
          <s v="04-Feb"/>
          <s v="05-Feb"/>
          <s v="06-Feb"/>
          <s v="07-Feb"/>
          <s v="08-Feb"/>
          <s v="0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01-Mar"/>
          <s v="02-Mar"/>
          <s v="03-Mar"/>
          <s v="04-Mar"/>
          <s v="05-Mar"/>
          <s v="06-Mar"/>
          <s v="07-Mar"/>
          <s v="08-Mar"/>
          <s v="0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01-Apr"/>
          <s v="02-Apr"/>
          <s v="03-Apr"/>
          <s v="04-Apr"/>
          <s v="05-Apr"/>
          <s v="06-Apr"/>
          <s v="07-Apr"/>
          <s v="08-Apr"/>
          <s v="0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01-May"/>
          <s v="02-May"/>
          <s v="03-May"/>
          <s v="04-May"/>
          <s v="05-May"/>
          <s v="06-May"/>
          <s v="07-May"/>
          <s v="08-May"/>
          <s v="0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01-Jun"/>
          <s v="02-Jun"/>
          <s v="03-Jun"/>
          <s v="04-Jun"/>
          <s v="05-Jun"/>
          <s v="06-Jun"/>
          <s v="07-Jun"/>
          <s v="08-Jun"/>
          <s v="0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01-Jul"/>
          <s v="02-Jul"/>
          <s v="03-Jul"/>
          <s v="04-Jul"/>
          <s v="05-Jul"/>
          <s v="06-Jul"/>
          <s v="07-Jul"/>
          <s v="08-Jul"/>
          <s v="0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01-Aug"/>
          <s v="02-Aug"/>
          <s v="03-Aug"/>
          <s v="04-Aug"/>
          <s v="05-Aug"/>
          <s v="06-Aug"/>
          <s v="07-Aug"/>
          <s v="08-Aug"/>
          <s v="0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01-Sep"/>
          <s v="02-Sep"/>
          <s v="03-Sep"/>
          <s v="04-Sep"/>
          <s v="05-Sep"/>
          <s v="06-Sep"/>
          <s v="07-Sep"/>
          <s v="08-Sep"/>
          <s v="0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01-Oct"/>
          <s v="02-Oct"/>
          <s v="03-Oct"/>
          <s v="04-Oct"/>
          <s v="05-Oct"/>
          <s v="06-Oct"/>
          <s v="07-Oct"/>
          <s v="08-Oct"/>
          <s v="0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01-Nov"/>
          <s v="02-Nov"/>
          <s v="03-Nov"/>
          <s v="04-Nov"/>
          <s v="05-Nov"/>
          <s v="06-Nov"/>
          <s v="07-Nov"/>
          <s v="08-Nov"/>
          <s v="0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01-Dec"/>
          <s v="02-Dec"/>
          <s v="03-Dec"/>
          <s v="04-Dec"/>
          <s v="05-Dec"/>
          <s v="06-Dec"/>
          <s v="07-Dec"/>
          <s v="08-Dec"/>
          <s v="0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21/08/2019"/>
        </groupItems>
      </fieldGroup>
    </cacheField>
    <cacheField name="Type" numFmtId="0">
      <sharedItems containsNonDate="0" containsBlank="1" count="5">
        <m/>
        <s v="Personnel" u="1"/>
        <s v="Module" u="1"/>
        <s v="Laboratoire" u="1"/>
        <s v="Intégration" u="1"/>
      </sharedItems>
    </cacheField>
    <cacheField name="Début" numFmtId="165">
      <sharedItems containsNonDate="0" containsString="0" containsBlank="1"/>
    </cacheField>
    <cacheField name="Fin" numFmtId="165">
      <sharedItems containsNonDate="0" containsString="0" containsBlank="1"/>
    </cacheField>
    <cacheField name="Matière" numFmtId="14">
      <sharedItems containsBlank="1" count="8">
        <s v="Programmation C#"/>
        <m/>
        <s v="Module_2"/>
        <s v="Projet personnel" u="1"/>
        <s v="Module_6" u="1"/>
        <s v="Divers" u="1"/>
        <s v="Module_0" u="1"/>
        <s v="Module_5" u="1"/>
      </sharedItems>
    </cacheField>
    <cacheField name="Tâche" numFmtId="0">
      <sharedItems containsBlank="1" count="8">
        <m/>
        <s v="Planification"/>
        <s v="mikro en C" u="1"/>
        <s v="Intro module" u="1"/>
        <s v="Com. &amp; gestion" u="1"/>
        <s v="Matériel" u="1"/>
        <s v="Réseau" u="1"/>
        <s v="Absent" u="1"/>
      </sharedItems>
    </cacheField>
    <cacheField name="Activité" numFmtId="0">
      <sharedItems containsNonDate="0" containsBlank="1" count="10">
        <m/>
        <s v="Documentation" u="1"/>
        <s v="Evaluation" u="1"/>
        <s v="Recherche" u="1"/>
        <s v="Séance" u="1"/>
        <s v="Malade" u="1"/>
        <s v="Installation" u="1"/>
        <s v="Tests" u="1"/>
        <s v="Programmation" u="1"/>
        <s v="Configuration" u="1"/>
      </sharedItems>
    </cacheField>
    <cacheField name="Détail" numFmtId="0">
      <sharedItems containsNonDate="0" containsBlank="1" count="30">
        <m/>
        <s v="Configuration du routeur et mise à jour du firmware" u="1"/>
        <s v="Création structure de base " u="1"/>
        <s v="TP N°1" u="1"/>
        <s v="Installation du PC d'atelier et recherche de composants pour le devis" u="1"/>
        <s v="Configuration " u="1"/>
        <s v="Document de &quot;Surveillance température&quot;" u="1"/>
        <s v="Documentation de l'installation du routeur" u="1"/>
        <s v="Création du schéma et de l'adressage IP" u="1"/>
        <s v="Création de la base du document pour sway" u="1"/>
        <s v="Prise en main sway" u="1"/>
        <s v="Installation et recherches des dépendances nécessaires pour le serveur" u="1"/>
        <s v="Installation du PC d'atelier et recherche de composants pour le devis " u="1"/>
        <s v="Changement de routeur" u="1"/>
        <s v="Recherche de sujet de projet" u="1"/>
        <s v="Installation du matériel réseau" u="1"/>
        <s v="Modification des paramètres de tableau dynamique dans le journal de travail" u="1"/>
        <s v="Création de la structure react" u="1"/>
        <s v="Configuration du routeur" u="1"/>
        <s v="Mise à niveau react avec des composants de test" u="1"/>
        <s v="Réalisation de la planification d'installation de l'infrastructure PME" u="1"/>
        <s v="Installation des outils bureautique sur le poste et lecture du document d'introduction au module (tâches à réalisées)" u="1"/>
        <s v="Entretien avec le client &quot;BMW&quot; pour exercice de devis" u="1"/>
        <s v="Mise à niveau react et création des premiers composants" u="1"/>
        <s v="Mise à jour de mon journal de travail" u="1"/>
        <s v="Création structure de base pour le serveur" u="1"/>
        <s v="Recherche de sujet de projet, début documentation" u="1"/>
        <s v="Présentation du projet" u="1"/>
        <s v="Développement du programme &quot;Thermometre Fridus&quot;" u="1"/>
        <s v="Code de la base du serveur" u="1"/>
      </sharedItems>
    </cacheField>
    <cacheField name="Mois" numFmtId="0" databaseField="0">
      <fieldGroup base="0">
        <rangePr groupBy="months" startDate="2019-08-19T00:00:00" endDate="2019-08-21T00:00:00"/>
        <groupItems count="14">
          <s v="&lt;19/08/2019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21/08/2019"/>
        </groupItems>
      </fieldGroup>
    </cacheField>
    <cacheField name="Total" numFmtId="0" formula="Fin-Début" databaseField="0"/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42">
  <r>
    <x v="0"/>
    <x v="0"/>
    <m/>
    <m/>
    <x v="0"/>
    <x v="0"/>
    <x v="0"/>
    <x v="0"/>
  </r>
  <r>
    <x v="1"/>
    <x v="0"/>
    <m/>
    <m/>
    <x v="1"/>
    <x v="0"/>
    <x v="0"/>
    <x v="0"/>
  </r>
  <r>
    <x v="2"/>
    <x v="0"/>
    <m/>
    <m/>
    <x v="1"/>
    <x v="0"/>
    <x v="0"/>
    <x v="0"/>
  </r>
  <r>
    <x v="2"/>
    <x v="0"/>
    <m/>
    <m/>
    <x v="1"/>
    <x v="0"/>
    <x v="0"/>
    <x v="0"/>
  </r>
  <r>
    <x v="2"/>
    <x v="0"/>
    <m/>
    <m/>
    <x v="1"/>
    <x v="0"/>
    <x v="0"/>
    <x v="0"/>
  </r>
  <r>
    <x v="2"/>
    <x v="0"/>
    <m/>
    <m/>
    <x v="1"/>
    <x v="0"/>
    <x v="0"/>
    <x v="0"/>
  </r>
  <r>
    <x v="2"/>
    <x v="0"/>
    <m/>
    <m/>
    <x v="2"/>
    <x v="1"/>
    <x v="0"/>
    <x v="0"/>
  </r>
  <r>
    <x v="2"/>
    <x v="0"/>
    <m/>
    <m/>
    <x v="1"/>
    <x v="0"/>
    <x v="0"/>
    <x v="0"/>
  </r>
  <r>
    <x v="2"/>
    <x v="0"/>
    <m/>
    <m/>
    <x v="1"/>
    <x v="0"/>
    <x v="0"/>
    <x v="0"/>
  </r>
  <r>
    <x v="2"/>
    <x v="0"/>
    <m/>
    <m/>
    <x v="1"/>
    <x v="0"/>
    <x v="0"/>
    <x v="0"/>
  </r>
  <r>
    <x v="2"/>
    <x v="0"/>
    <m/>
    <m/>
    <x v="1"/>
    <x v="0"/>
    <x v="0"/>
    <x v="0"/>
  </r>
  <r>
    <x v="2"/>
    <x v="0"/>
    <m/>
    <m/>
    <x v="1"/>
    <x v="0"/>
    <x v="0"/>
    <x v="0"/>
  </r>
  <r>
    <x v="2"/>
    <x v="0"/>
    <m/>
    <m/>
    <x v="1"/>
    <x v="0"/>
    <x v="0"/>
    <x v="0"/>
  </r>
  <r>
    <x v="2"/>
    <x v="0"/>
    <m/>
    <m/>
    <x v="1"/>
    <x v="0"/>
    <x v="0"/>
    <x v="0"/>
  </r>
  <r>
    <x v="2"/>
    <x v="0"/>
    <m/>
    <m/>
    <x v="1"/>
    <x v="0"/>
    <x v="0"/>
    <x v="0"/>
  </r>
  <r>
    <x v="2"/>
    <x v="0"/>
    <m/>
    <m/>
    <x v="1"/>
    <x v="0"/>
    <x v="0"/>
    <x v="0"/>
  </r>
  <r>
    <x v="2"/>
    <x v="0"/>
    <m/>
    <m/>
    <x v="1"/>
    <x v="0"/>
    <x v="0"/>
    <x v="0"/>
  </r>
  <r>
    <x v="2"/>
    <x v="0"/>
    <m/>
    <m/>
    <x v="1"/>
    <x v="0"/>
    <x v="0"/>
    <x v="0"/>
  </r>
  <r>
    <x v="2"/>
    <x v="0"/>
    <m/>
    <m/>
    <x v="1"/>
    <x v="0"/>
    <x v="0"/>
    <x v="0"/>
  </r>
  <r>
    <x v="2"/>
    <x v="0"/>
    <m/>
    <m/>
    <x v="1"/>
    <x v="0"/>
    <x v="0"/>
    <x v="0"/>
  </r>
  <r>
    <x v="2"/>
    <x v="0"/>
    <m/>
    <m/>
    <x v="1"/>
    <x v="0"/>
    <x v="0"/>
    <x v="0"/>
  </r>
  <r>
    <x v="2"/>
    <x v="0"/>
    <m/>
    <m/>
    <x v="1"/>
    <x v="0"/>
    <x v="0"/>
    <x v="0"/>
  </r>
  <r>
    <x v="2"/>
    <x v="0"/>
    <m/>
    <m/>
    <x v="1"/>
    <x v="0"/>
    <x v="0"/>
    <x v="0"/>
  </r>
  <r>
    <x v="2"/>
    <x v="0"/>
    <m/>
    <m/>
    <x v="1"/>
    <x v="0"/>
    <x v="0"/>
    <x v="0"/>
  </r>
  <r>
    <x v="2"/>
    <x v="0"/>
    <m/>
    <m/>
    <x v="1"/>
    <x v="0"/>
    <x v="0"/>
    <x v="0"/>
  </r>
  <r>
    <x v="2"/>
    <x v="0"/>
    <m/>
    <m/>
    <x v="1"/>
    <x v="0"/>
    <x v="0"/>
    <x v="0"/>
  </r>
  <r>
    <x v="2"/>
    <x v="0"/>
    <m/>
    <m/>
    <x v="1"/>
    <x v="0"/>
    <x v="0"/>
    <x v="0"/>
  </r>
  <r>
    <x v="2"/>
    <x v="0"/>
    <m/>
    <m/>
    <x v="1"/>
    <x v="0"/>
    <x v="0"/>
    <x v="0"/>
  </r>
  <r>
    <x v="2"/>
    <x v="0"/>
    <m/>
    <m/>
    <x v="1"/>
    <x v="0"/>
    <x v="0"/>
    <x v="0"/>
  </r>
  <r>
    <x v="2"/>
    <x v="0"/>
    <m/>
    <m/>
    <x v="1"/>
    <x v="0"/>
    <x v="0"/>
    <x v="0"/>
  </r>
  <r>
    <x v="2"/>
    <x v="0"/>
    <m/>
    <m/>
    <x v="1"/>
    <x v="0"/>
    <x v="0"/>
    <x v="0"/>
  </r>
  <r>
    <x v="2"/>
    <x v="0"/>
    <m/>
    <m/>
    <x v="1"/>
    <x v="0"/>
    <x v="0"/>
    <x v="0"/>
  </r>
  <r>
    <x v="2"/>
    <x v="0"/>
    <m/>
    <m/>
    <x v="1"/>
    <x v="0"/>
    <x v="0"/>
    <x v="0"/>
  </r>
  <r>
    <x v="2"/>
    <x v="0"/>
    <m/>
    <m/>
    <x v="1"/>
    <x v="0"/>
    <x v="0"/>
    <x v="0"/>
  </r>
  <r>
    <x v="2"/>
    <x v="0"/>
    <m/>
    <m/>
    <x v="1"/>
    <x v="0"/>
    <x v="0"/>
    <x v="0"/>
  </r>
  <r>
    <x v="2"/>
    <x v="0"/>
    <m/>
    <m/>
    <x v="1"/>
    <x v="0"/>
    <x v="0"/>
    <x v="0"/>
  </r>
  <r>
    <x v="2"/>
    <x v="0"/>
    <m/>
    <m/>
    <x v="1"/>
    <x v="0"/>
    <x v="0"/>
    <x v="0"/>
  </r>
  <r>
    <x v="2"/>
    <x v="0"/>
    <m/>
    <m/>
    <x v="1"/>
    <x v="0"/>
    <x v="0"/>
    <x v="0"/>
  </r>
  <r>
    <x v="2"/>
    <x v="0"/>
    <m/>
    <m/>
    <x v="1"/>
    <x v="0"/>
    <x v="0"/>
    <x v="0"/>
  </r>
  <r>
    <x v="2"/>
    <x v="0"/>
    <m/>
    <m/>
    <x v="1"/>
    <x v="0"/>
    <x v="0"/>
    <x v="0"/>
  </r>
  <r>
    <x v="2"/>
    <x v="0"/>
    <m/>
    <m/>
    <x v="1"/>
    <x v="0"/>
    <x v="0"/>
    <x v="0"/>
  </r>
  <r>
    <x v="2"/>
    <x v="0"/>
    <m/>
    <m/>
    <x v="1"/>
    <x v="0"/>
    <x v="0"/>
    <x v="0"/>
  </r>
  <r>
    <x v="2"/>
    <x v="0"/>
    <m/>
    <m/>
    <x v="1"/>
    <x v="0"/>
    <x v="0"/>
    <x v="0"/>
  </r>
  <r>
    <x v="2"/>
    <x v="0"/>
    <m/>
    <m/>
    <x v="1"/>
    <x v="0"/>
    <x v="0"/>
    <x v="0"/>
  </r>
  <r>
    <x v="2"/>
    <x v="0"/>
    <m/>
    <m/>
    <x v="1"/>
    <x v="0"/>
    <x v="0"/>
    <x v="0"/>
  </r>
  <r>
    <x v="2"/>
    <x v="0"/>
    <m/>
    <m/>
    <x v="1"/>
    <x v="0"/>
    <x v="0"/>
    <x v="0"/>
  </r>
  <r>
    <x v="2"/>
    <x v="0"/>
    <m/>
    <m/>
    <x v="1"/>
    <x v="0"/>
    <x v="0"/>
    <x v="0"/>
  </r>
  <r>
    <x v="2"/>
    <x v="0"/>
    <m/>
    <m/>
    <x v="1"/>
    <x v="0"/>
    <x v="0"/>
    <x v="0"/>
  </r>
  <r>
    <x v="2"/>
    <x v="0"/>
    <m/>
    <m/>
    <x v="1"/>
    <x v="0"/>
    <x v="0"/>
    <x v="0"/>
  </r>
  <r>
    <x v="2"/>
    <x v="0"/>
    <m/>
    <m/>
    <x v="1"/>
    <x v="0"/>
    <x v="0"/>
    <x v="0"/>
  </r>
  <r>
    <x v="2"/>
    <x v="0"/>
    <m/>
    <m/>
    <x v="1"/>
    <x v="0"/>
    <x v="0"/>
    <x v="0"/>
  </r>
  <r>
    <x v="2"/>
    <x v="0"/>
    <m/>
    <m/>
    <x v="1"/>
    <x v="0"/>
    <x v="0"/>
    <x v="0"/>
  </r>
  <r>
    <x v="2"/>
    <x v="0"/>
    <m/>
    <m/>
    <x v="1"/>
    <x v="0"/>
    <x v="0"/>
    <x v="0"/>
  </r>
  <r>
    <x v="2"/>
    <x v="0"/>
    <m/>
    <m/>
    <x v="1"/>
    <x v="0"/>
    <x v="0"/>
    <x v="0"/>
  </r>
  <r>
    <x v="2"/>
    <x v="0"/>
    <m/>
    <m/>
    <x v="1"/>
    <x v="0"/>
    <x v="0"/>
    <x v="0"/>
  </r>
  <r>
    <x v="2"/>
    <x v="0"/>
    <m/>
    <m/>
    <x v="1"/>
    <x v="0"/>
    <x v="0"/>
    <x v="0"/>
  </r>
  <r>
    <x v="2"/>
    <x v="0"/>
    <m/>
    <m/>
    <x v="1"/>
    <x v="0"/>
    <x v="0"/>
    <x v="0"/>
  </r>
  <r>
    <x v="2"/>
    <x v="0"/>
    <m/>
    <m/>
    <x v="1"/>
    <x v="0"/>
    <x v="0"/>
    <x v="0"/>
  </r>
  <r>
    <x v="2"/>
    <x v="0"/>
    <m/>
    <m/>
    <x v="1"/>
    <x v="0"/>
    <x v="0"/>
    <x v="0"/>
  </r>
  <r>
    <x v="2"/>
    <x v="0"/>
    <m/>
    <m/>
    <x v="1"/>
    <x v="0"/>
    <x v="0"/>
    <x v="0"/>
  </r>
  <r>
    <x v="2"/>
    <x v="0"/>
    <m/>
    <m/>
    <x v="1"/>
    <x v="0"/>
    <x v="0"/>
    <x v="0"/>
  </r>
  <r>
    <x v="2"/>
    <x v="0"/>
    <m/>
    <m/>
    <x v="1"/>
    <x v="0"/>
    <x v="0"/>
    <x v="0"/>
  </r>
  <r>
    <x v="2"/>
    <x v="0"/>
    <m/>
    <m/>
    <x v="1"/>
    <x v="0"/>
    <x v="0"/>
    <x v="0"/>
  </r>
  <r>
    <x v="2"/>
    <x v="0"/>
    <m/>
    <m/>
    <x v="1"/>
    <x v="0"/>
    <x v="0"/>
    <x v="0"/>
  </r>
  <r>
    <x v="2"/>
    <x v="0"/>
    <m/>
    <m/>
    <x v="1"/>
    <x v="0"/>
    <x v="0"/>
    <x v="0"/>
  </r>
  <r>
    <x v="2"/>
    <x v="0"/>
    <m/>
    <m/>
    <x v="1"/>
    <x v="0"/>
    <x v="0"/>
    <x v="0"/>
  </r>
  <r>
    <x v="2"/>
    <x v="0"/>
    <m/>
    <m/>
    <x v="1"/>
    <x v="0"/>
    <x v="0"/>
    <x v="0"/>
  </r>
  <r>
    <x v="2"/>
    <x v="0"/>
    <m/>
    <m/>
    <x v="1"/>
    <x v="0"/>
    <x v="0"/>
    <x v="0"/>
  </r>
  <r>
    <x v="2"/>
    <x v="0"/>
    <m/>
    <m/>
    <x v="1"/>
    <x v="0"/>
    <x v="0"/>
    <x v="0"/>
  </r>
  <r>
    <x v="2"/>
    <x v="0"/>
    <m/>
    <m/>
    <x v="1"/>
    <x v="0"/>
    <x v="0"/>
    <x v="0"/>
  </r>
  <r>
    <x v="2"/>
    <x v="0"/>
    <m/>
    <m/>
    <x v="1"/>
    <x v="0"/>
    <x v="0"/>
    <x v="0"/>
  </r>
  <r>
    <x v="2"/>
    <x v="0"/>
    <m/>
    <m/>
    <x v="1"/>
    <x v="0"/>
    <x v="0"/>
    <x v="0"/>
  </r>
  <r>
    <x v="2"/>
    <x v="0"/>
    <m/>
    <m/>
    <x v="1"/>
    <x v="0"/>
    <x v="0"/>
    <x v="0"/>
  </r>
  <r>
    <x v="2"/>
    <x v="0"/>
    <m/>
    <m/>
    <x v="1"/>
    <x v="0"/>
    <x v="0"/>
    <x v="0"/>
  </r>
  <r>
    <x v="2"/>
    <x v="0"/>
    <m/>
    <m/>
    <x v="1"/>
    <x v="0"/>
    <x v="0"/>
    <x v="0"/>
  </r>
  <r>
    <x v="2"/>
    <x v="0"/>
    <m/>
    <m/>
    <x v="1"/>
    <x v="0"/>
    <x v="0"/>
    <x v="0"/>
  </r>
  <r>
    <x v="2"/>
    <x v="0"/>
    <m/>
    <m/>
    <x v="1"/>
    <x v="0"/>
    <x v="0"/>
    <x v="0"/>
  </r>
  <r>
    <x v="2"/>
    <x v="0"/>
    <m/>
    <m/>
    <x v="1"/>
    <x v="0"/>
    <x v="0"/>
    <x v="0"/>
  </r>
  <r>
    <x v="2"/>
    <x v="0"/>
    <m/>
    <m/>
    <x v="1"/>
    <x v="0"/>
    <x v="0"/>
    <x v="0"/>
  </r>
  <r>
    <x v="2"/>
    <x v="0"/>
    <m/>
    <m/>
    <x v="1"/>
    <x v="0"/>
    <x v="0"/>
    <x v="0"/>
  </r>
  <r>
    <x v="2"/>
    <x v="0"/>
    <m/>
    <m/>
    <x v="1"/>
    <x v="0"/>
    <x v="0"/>
    <x v="0"/>
  </r>
  <r>
    <x v="2"/>
    <x v="0"/>
    <m/>
    <m/>
    <x v="1"/>
    <x v="0"/>
    <x v="0"/>
    <x v="0"/>
  </r>
  <r>
    <x v="2"/>
    <x v="0"/>
    <m/>
    <m/>
    <x v="1"/>
    <x v="0"/>
    <x v="0"/>
    <x v="0"/>
  </r>
  <r>
    <x v="2"/>
    <x v="0"/>
    <m/>
    <m/>
    <x v="1"/>
    <x v="0"/>
    <x v="0"/>
    <x v="0"/>
  </r>
  <r>
    <x v="2"/>
    <x v="0"/>
    <m/>
    <m/>
    <x v="1"/>
    <x v="0"/>
    <x v="0"/>
    <x v="0"/>
  </r>
  <r>
    <x v="2"/>
    <x v="0"/>
    <m/>
    <m/>
    <x v="1"/>
    <x v="0"/>
    <x v="0"/>
    <x v="0"/>
  </r>
  <r>
    <x v="2"/>
    <x v="0"/>
    <m/>
    <m/>
    <x v="1"/>
    <x v="0"/>
    <x v="0"/>
    <x v="0"/>
  </r>
  <r>
    <x v="2"/>
    <x v="0"/>
    <m/>
    <m/>
    <x v="1"/>
    <x v="0"/>
    <x v="0"/>
    <x v="0"/>
  </r>
  <r>
    <x v="2"/>
    <x v="0"/>
    <m/>
    <m/>
    <x v="1"/>
    <x v="0"/>
    <x v="0"/>
    <x v="0"/>
  </r>
  <r>
    <x v="2"/>
    <x v="0"/>
    <m/>
    <m/>
    <x v="1"/>
    <x v="0"/>
    <x v="0"/>
    <x v="0"/>
  </r>
  <r>
    <x v="2"/>
    <x v="0"/>
    <m/>
    <m/>
    <x v="1"/>
    <x v="0"/>
    <x v="0"/>
    <x v="0"/>
  </r>
  <r>
    <x v="2"/>
    <x v="0"/>
    <m/>
    <m/>
    <x v="1"/>
    <x v="0"/>
    <x v="0"/>
    <x v="0"/>
  </r>
  <r>
    <x v="2"/>
    <x v="0"/>
    <m/>
    <m/>
    <x v="1"/>
    <x v="0"/>
    <x v="0"/>
    <x v="0"/>
  </r>
  <r>
    <x v="2"/>
    <x v="0"/>
    <m/>
    <m/>
    <x v="1"/>
    <x v="0"/>
    <x v="0"/>
    <x v="0"/>
  </r>
  <r>
    <x v="2"/>
    <x v="0"/>
    <m/>
    <m/>
    <x v="1"/>
    <x v="0"/>
    <x v="0"/>
    <x v="0"/>
  </r>
  <r>
    <x v="2"/>
    <x v="0"/>
    <m/>
    <m/>
    <x v="1"/>
    <x v="0"/>
    <x v="0"/>
    <x v="0"/>
  </r>
  <r>
    <x v="2"/>
    <x v="0"/>
    <m/>
    <m/>
    <x v="1"/>
    <x v="0"/>
    <x v="0"/>
    <x v="0"/>
  </r>
  <r>
    <x v="2"/>
    <x v="0"/>
    <m/>
    <m/>
    <x v="1"/>
    <x v="0"/>
    <x v="0"/>
    <x v="0"/>
  </r>
  <r>
    <x v="2"/>
    <x v="0"/>
    <m/>
    <m/>
    <x v="1"/>
    <x v="0"/>
    <x v="0"/>
    <x v="0"/>
  </r>
  <r>
    <x v="2"/>
    <x v="0"/>
    <m/>
    <m/>
    <x v="1"/>
    <x v="0"/>
    <x v="0"/>
    <x v="0"/>
  </r>
  <r>
    <x v="2"/>
    <x v="0"/>
    <m/>
    <m/>
    <x v="1"/>
    <x v="0"/>
    <x v="0"/>
    <x v="0"/>
  </r>
  <r>
    <x v="2"/>
    <x v="0"/>
    <m/>
    <m/>
    <x v="1"/>
    <x v="0"/>
    <x v="0"/>
    <x v="0"/>
  </r>
  <r>
    <x v="2"/>
    <x v="0"/>
    <m/>
    <m/>
    <x v="1"/>
    <x v="0"/>
    <x v="0"/>
    <x v="0"/>
  </r>
  <r>
    <x v="2"/>
    <x v="0"/>
    <m/>
    <m/>
    <x v="1"/>
    <x v="0"/>
    <x v="0"/>
    <x v="0"/>
  </r>
  <r>
    <x v="2"/>
    <x v="0"/>
    <m/>
    <m/>
    <x v="1"/>
    <x v="0"/>
    <x v="0"/>
    <x v="0"/>
  </r>
  <r>
    <x v="2"/>
    <x v="0"/>
    <m/>
    <m/>
    <x v="1"/>
    <x v="0"/>
    <x v="0"/>
    <x v="0"/>
  </r>
  <r>
    <x v="2"/>
    <x v="0"/>
    <m/>
    <m/>
    <x v="1"/>
    <x v="0"/>
    <x v="0"/>
    <x v="0"/>
  </r>
  <r>
    <x v="2"/>
    <x v="0"/>
    <m/>
    <m/>
    <x v="1"/>
    <x v="0"/>
    <x v="0"/>
    <x v="0"/>
  </r>
  <r>
    <x v="2"/>
    <x v="0"/>
    <m/>
    <m/>
    <x v="1"/>
    <x v="0"/>
    <x v="0"/>
    <x v="0"/>
  </r>
  <r>
    <x v="2"/>
    <x v="0"/>
    <m/>
    <m/>
    <x v="1"/>
    <x v="0"/>
    <x v="0"/>
    <x v="0"/>
  </r>
  <r>
    <x v="2"/>
    <x v="0"/>
    <m/>
    <m/>
    <x v="1"/>
    <x v="0"/>
    <x v="0"/>
    <x v="0"/>
  </r>
  <r>
    <x v="2"/>
    <x v="0"/>
    <m/>
    <m/>
    <x v="1"/>
    <x v="0"/>
    <x v="0"/>
    <x v="0"/>
  </r>
  <r>
    <x v="2"/>
    <x v="0"/>
    <m/>
    <m/>
    <x v="1"/>
    <x v="0"/>
    <x v="0"/>
    <x v="0"/>
  </r>
  <r>
    <x v="2"/>
    <x v="0"/>
    <m/>
    <m/>
    <x v="1"/>
    <x v="0"/>
    <x v="0"/>
    <x v="0"/>
  </r>
  <r>
    <x v="2"/>
    <x v="0"/>
    <m/>
    <m/>
    <x v="1"/>
    <x v="0"/>
    <x v="0"/>
    <x v="0"/>
  </r>
  <r>
    <x v="2"/>
    <x v="0"/>
    <m/>
    <m/>
    <x v="1"/>
    <x v="0"/>
    <x v="0"/>
    <x v="0"/>
  </r>
  <r>
    <x v="2"/>
    <x v="0"/>
    <m/>
    <m/>
    <x v="1"/>
    <x v="0"/>
    <x v="0"/>
    <x v="0"/>
  </r>
  <r>
    <x v="2"/>
    <x v="0"/>
    <m/>
    <m/>
    <x v="1"/>
    <x v="0"/>
    <x v="0"/>
    <x v="0"/>
  </r>
  <r>
    <x v="2"/>
    <x v="0"/>
    <m/>
    <m/>
    <x v="1"/>
    <x v="0"/>
    <x v="0"/>
    <x v="0"/>
  </r>
  <r>
    <x v="2"/>
    <x v="0"/>
    <m/>
    <m/>
    <x v="1"/>
    <x v="0"/>
    <x v="0"/>
    <x v="0"/>
  </r>
  <r>
    <x v="2"/>
    <x v="0"/>
    <m/>
    <m/>
    <x v="1"/>
    <x v="0"/>
    <x v="0"/>
    <x v="0"/>
  </r>
  <r>
    <x v="2"/>
    <x v="0"/>
    <m/>
    <m/>
    <x v="1"/>
    <x v="0"/>
    <x v="0"/>
    <x v="0"/>
  </r>
  <r>
    <x v="2"/>
    <x v="0"/>
    <m/>
    <m/>
    <x v="1"/>
    <x v="0"/>
    <x v="0"/>
    <x v="0"/>
  </r>
  <r>
    <x v="2"/>
    <x v="0"/>
    <m/>
    <m/>
    <x v="1"/>
    <x v="0"/>
    <x v="0"/>
    <x v="0"/>
  </r>
  <r>
    <x v="2"/>
    <x v="0"/>
    <m/>
    <m/>
    <x v="1"/>
    <x v="0"/>
    <x v="0"/>
    <x v="0"/>
  </r>
  <r>
    <x v="2"/>
    <x v="0"/>
    <m/>
    <m/>
    <x v="1"/>
    <x v="0"/>
    <x v="0"/>
    <x v="0"/>
  </r>
  <r>
    <x v="2"/>
    <x v="0"/>
    <m/>
    <m/>
    <x v="1"/>
    <x v="0"/>
    <x v="0"/>
    <x v="0"/>
  </r>
  <r>
    <x v="2"/>
    <x v="0"/>
    <m/>
    <m/>
    <x v="1"/>
    <x v="0"/>
    <x v="0"/>
    <x v="0"/>
  </r>
  <r>
    <x v="2"/>
    <x v="0"/>
    <m/>
    <m/>
    <x v="1"/>
    <x v="0"/>
    <x v="0"/>
    <x v="0"/>
  </r>
  <r>
    <x v="2"/>
    <x v="0"/>
    <m/>
    <m/>
    <x v="1"/>
    <x v="0"/>
    <x v="0"/>
    <x v="0"/>
  </r>
  <r>
    <x v="2"/>
    <x v="0"/>
    <m/>
    <m/>
    <x v="1"/>
    <x v="0"/>
    <x v="0"/>
    <x v="0"/>
  </r>
  <r>
    <x v="2"/>
    <x v="0"/>
    <m/>
    <m/>
    <x v="1"/>
    <x v="0"/>
    <x v="0"/>
    <x v="0"/>
  </r>
  <r>
    <x v="2"/>
    <x v="0"/>
    <m/>
    <m/>
    <x v="1"/>
    <x v="0"/>
    <x v="0"/>
    <x v="0"/>
  </r>
  <r>
    <x v="2"/>
    <x v="0"/>
    <m/>
    <m/>
    <x v="1"/>
    <x v="0"/>
    <x v="0"/>
    <x v="0"/>
  </r>
  <r>
    <x v="2"/>
    <x v="0"/>
    <m/>
    <m/>
    <x v="1"/>
    <x v="0"/>
    <x v="0"/>
    <x v="0"/>
  </r>
  <r>
    <x v="2"/>
    <x v="0"/>
    <m/>
    <m/>
    <x v="1"/>
    <x v="0"/>
    <x v="0"/>
    <x v="0"/>
  </r>
  <r>
    <x v="2"/>
    <x v="0"/>
    <m/>
    <m/>
    <x v="1"/>
    <x v="0"/>
    <x v="0"/>
    <x v="0"/>
  </r>
  <r>
    <x v="2"/>
    <x v="0"/>
    <m/>
    <m/>
    <x v="1"/>
    <x v="0"/>
    <x v="0"/>
    <x v="0"/>
  </r>
  <r>
    <x v="2"/>
    <x v="0"/>
    <m/>
    <m/>
    <x v="1"/>
    <x v="0"/>
    <x v="0"/>
    <x v="0"/>
  </r>
  <r>
    <x v="2"/>
    <x v="0"/>
    <m/>
    <m/>
    <x v="1"/>
    <x v="0"/>
    <x v="0"/>
    <x v="0"/>
  </r>
  <r>
    <x v="2"/>
    <x v="0"/>
    <m/>
    <m/>
    <x v="1"/>
    <x v="0"/>
    <x v="0"/>
    <x v="0"/>
  </r>
  <r>
    <x v="2"/>
    <x v="0"/>
    <m/>
    <m/>
    <x v="1"/>
    <x v="0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Journal_de_travail" cacheId="51" applyNumberFormats="0" applyBorderFormats="0" applyFontFormats="0" applyPatternFormats="0" applyAlignmentFormats="0" applyWidthHeightFormats="1" dataCaption="Valeurs" updatedVersion="6" minRefreshableVersion="3" fieldPrintTitles="1" itemPrintTitles="1" createdVersion="6" indent="0" compact="0" compactData="0" multipleFieldFilters="0" chartFormat="3">
  <location ref="C8:G9" firstHeaderRow="1" firstDataRow="1" firstDataCol="4" rowPageCount="3" colPageCount="1"/>
  <pivotFields count="10">
    <pivotField axis="axisRow" compact="0" outline="0" showAll="0" insertBlankRow="1" includeNewItemsInFilter="1">
      <items count="369">
        <item x="0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axis="axisPage" compact="0" outline="0" showAll="0">
      <items count="6">
        <item m="1" x="4"/>
        <item m="1" x="3"/>
        <item m="1" x="2"/>
        <item m="1" x="1"/>
        <item x="0"/>
        <item t="default"/>
      </items>
    </pivotField>
    <pivotField compact="0" outline="0" showAll="0" defaultSubtotal="0"/>
    <pivotField compact="0" outline="0" showAll="0"/>
    <pivotField axis="axisPage" compact="0" outline="0" multipleItemSelectionAllowed="1" showAll="0">
      <items count="9">
        <item m="1" x="5"/>
        <item m="1" x="7"/>
        <item m="1" x="4"/>
        <item h="1" x="1"/>
        <item h="1" m="1" x="6"/>
        <item h="1" m="1" x="3"/>
        <item h="1" x="0"/>
        <item h="1" x="2"/>
        <item t="default"/>
      </items>
    </pivotField>
    <pivotField axis="axisRow" compact="0" outline="0" showAll="0" includeNewItemsInFilter="1" defaultSubtotal="0">
      <items count="8">
        <item m="1" x="7"/>
        <item m="1" x="3"/>
        <item m="1" x="5"/>
        <item m="1" x="2"/>
        <item m="1" x="6"/>
        <item x="0"/>
        <item m="1" x="4"/>
        <item x="1"/>
      </items>
    </pivotField>
    <pivotField axis="axisRow" compact="0" outline="0" showAll="0" includeNewItemsInFilter="1" defaultSubtotal="0">
      <items count="10">
        <item m="1" x="9"/>
        <item m="1" x="1"/>
        <item m="1" x="2"/>
        <item m="1" x="6"/>
        <item m="1" x="5"/>
        <item m="1" x="4"/>
        <item m="1" x="7"/>
        <item x="0"/>
        <item m="1" x="8"/>
        <item m="1" x="3"/>
      </items>
    </pivotField>
    <pivotField axis="axisRow" compact="0" outline="0" showAll="0" defaultSubtotal="0">
      <items count="30">
        <item m="1" x="13"/>
        <item m="1" x="18"/>
        <item m="1" x="1"/>
        <item m="1" x="8"/>
        <item m="1" x="28"/>
        <item m="1" x="6"/>
        <item m="1" x="7"/>
        <item m="1" x="22"/>
        <item m="1" x="21"/>
        <item m="1" x="15"/>
        <item m="1" x="4"/>
        <item m="1" x="12"/>
        <item m="1" x="24"/>
        <item m="1" x="16"/>
        <item m="1" x="20"/>
        <item m="1" x="3"/>
        <item x="0"/>
        <item m="1" x="2"/>
        <item m="1" x="14"/>
        <item m="1" x="26"/>
        <item m="1" x="27"/>
        <item m="1" x="25"/>
        <item m="1" x="11"/>
        <item m="1" x="29"/>
        <item m="1" x="5"/>
        <item m="1" x="17"/>
        <item m="1" x="19"/>
        <item m="1" x="10"/>
        <item m="1" x="23"/>
        <item m="1" x="9"/>
      </items>
    </pivotField>
    <pivotField axis="axisPage" compact="0" outline="0"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dataField="1" compact="0" outline="0" dragToRow="0" dragToCol="0" dragToPage="0" showAll="0" defaultSubtotal="0"/>
  </pivotFields>
  <rowFields count="4">
    <field x="0"/>
    <field x="5"/>
    <field x="6"/>
    <field x="7"/>
  </rowFields>
  <rowItems count="1">
    <i t="grand">
      <x/>
    </i>
  </rowItems>
  <colItems count="1">
    <i/>
  </colItems>
  <pageFields count="3">
    <pageField fld="4" hier="-1"/>
    <pageField fld="1" hier="-1"/>
    <pageField fld="8" hier="-1"/>
  </pageFields>
  <dataFields count="1">
    <dataField name="NB_heures" fld="9" baseField="7" baseItem="10" numFmtId="168"/>
  </dataFields>
  <formats count="18">
    <format dxfId="27">
      <pivotArea dataOnly="0" outline="0" axis="axisValues" fieldPosition="0"/>
    </format>
    <format dxfId="26">
      <pivotArea type="all" dataOnly="0" outline="0" fieldPosition="0"/>
    </format>
    <format dxfId="25">
      <pivotArea outline="0" collapsedLevelsAreSubtotals="1" fieldPosition="0"/>
    </format>
    <format dxfId="24">
      <pivotArea field="0" type="button" dataOnly="0" labelOnly="1" outline="0" axis="axisRow" fieldPosition="0"/>
    </format>
    <format dxfId="23">
      <pivotArea field="5" type="button" dataOnly="0" labelOnly="1" outline="0" axis="axisRow" fieldPosition="1"/>
    </format>
    <format dxfId="22">
      <pivotArea field="6" type="button" dataOnly="0" labelOnly="1" outline="0" axis="axisRow" fieldPosition="2"/>
    </format>
    <format dxfId="21">
      <pivotArea field="7" type="button" dataOnly="0" labelOnly="1" outline="0" axis="axisRow" fieldPosition="3"/>
    </format>
    <format dxfId="20">
      <pivotArea dataOnly="0" labelOnly="1" outline="0" axis="axisValues" fieldPosition="0"/>
    </format>
    <format dxfId="19">
      <pivotArea dataOnly="0" labelOnly="1" grandRow="1" outline="0" fieldPosition="0"/>
    </format>
    <format dxfId="18">
      <pivotArea dataOnly="0" labelOnly="1" outline="0" axis="axisValues" fieldPosition="0"/>
    </format>
    <format dxfId="17">
      <pivotArea outline="0" collapsedLevelsAreSubtotals="1" fieldPosition="0"/>
    </format>
    <format dxfId="16">
      <pivotArea dataOnly="0" labelOnly="1" outline="0" axis="axisValues" fieldPosition="0"/>
    </format>
    <format dxfId="15">
      <pivotArea dataOnly="0" labelOnly="1" outline="0" axis="axisValues" fieldPosition="0"/>
    </format>
    <format dxfId="14">
      <pivotArea field="0" type="button" dataOnly="0" labelOnly="1" outline="0" axis="axisRow" fieldPosition="0"/>
    </format>
    <format dxfId="13">
      <pivotArea field="0" type="button" dataOnly="0" labelOnly="1" outline="0" axis="axisRow" fieldPosition="0"/>
    </format>
    <format dxfId="12">
      <pivotArea field="0" type="button" dataOnly="0" labelOnly="1" outline="0" axis="axisRow" fieldPosition="0"/>
    </format>
    <format dxfId="11">
      <pivotArea outline="0" fieldPosition="0">
        <references count="1">
          <reference field="4294967294" count="1">
            <x v="0"/>
          </reference>
        </references>
      </pivotArea>
    </format>
    <format dxfId="10">
      <pivotArea field="0" type="button" dataOnly="0" labelOnly="1" outline="0" axis="axisRow" fieldPosition="0"/>
    </format>
  </formats>
  <pivotTableStyleInfo name="PivotTable Style 1" showRowHeaders="1" showColHeaders="1" showRowStripes="1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0000000}" name="TCD_Matières" cacheId="51" applyNumberFormats="0" applyBorderFormats="0" applyFontFormats="0" applyPatternFormats="0" applyAlignmentFormats="0" applyWidthHeightFormats="1" dataCaption="Valeurs" showMissing="0" updatedVersion="6" minRefreshableVersion="3" useAutoFormatting="1" itemPrintTitles="1" createdVersion="6" indent="0" outline="1" outlineData="1" multipleFieldFilters="0" chartFormat="2" rowHeaderCaption="Type">
  <location ref="A5:D6" firstHeaderRow="1" firstDataRow="1" firstDataCol="3" rowPageCount="1" colPageCount="1"/>
  <pivotFields count="10">
    <pivotField showAll="0" defaultSubtotal="0">
      <items count="368">
        <item x="0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</items>
    </pivotField>
    <pivotField axis="axisRow" outline="0" showAll="0">
      <items count="6">
        <item m="1" x="2"/>
        <item x="0"/>
        <item m="1" x="1"/>
        <item m="1" x="3"/>
        <item m="1" x="4"/>
        <item t="default"/>
      </items>
    </pivotField>
    <pivotField showAll="0" defaultSubtotal="0"/>
    <pivotField showAll="0"/>
    <pivotField axis="axisPage" multipleItemSelectionAllowed="1" showAll="0">
      <items count="9">
        <item m="1" x="7"/>
        <item h="1" x="1"/>
        <item h="1" m="1" x="5"/>
        <item h="1" m="1" x="4"/>
        <item h="1" m="1" x="6"/>
        <item h="1" m="1" x="3"/>
        <item h="1" x="0"/>
        <item h="1" x="2"/>
        <item t="default"/>
      </items>
    </pivotField>
    <pivotField axis="axisRow" outline="0" showAll="0" defaultSubtotal="0">
      <items count="8">
        <item x="0"/>
        <item m="1" x="7"/>
        <item m="1" x="3"/>
        <item m="1" x="6"/>
        <item m="1" x="2"/>
        <item m="1" x="5"/>
        <item m="1" x="4"/>
        <item x="1"/>
      </items>
    </pivotField>
    <pivotField axis="axisRow" outline="0" showAll="0">
      <items count="11">
        <item m="1" x="9"/>
        <item m="1" x="1"/>
        <item m="1" x="2"/>
        <item m="1" x="5"/>
        <item m="1" x="7"/>
        <item x="0"/>
        <item m="1" x="4"/>
        <item m="1" x="6"/>
        <item m="1" x="8"/>
        <item m="1" x="3"/>
        <item t="default"/>
      </items>
    </pivotField>
    <pivotField showAll="0" defaultSubtotal="0"/>
    <pivotField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dataField="1" dragToRow="0" dragToCol="0" dragToPage="0" showAll="0" defaultSubtotal="0"/>
  </pivotFields>
  <rowFields count="3">
    <field x="1"/>
    <field x="5"/>
    <field x="6"/>
  </rowFields>
  <rowItems count="1">
    <i t="grand">
      <x/>
    </i>
  </rowItems>
  <colItems count="1">
    <i/>
  </colItems>
  <pageFields count="1">
    <pageField fld="4" hier="-1"/>
  </pageFields>
  <dataFields count="1">
    <dataField name="Total/taches" fld="9" baseField="1" baseItem="0" numFmtId="168"/>
  </dataFields>
  <chartFormats count="9">
    <chartFormat chart="1" format="3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3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5" count="1" selected="0">
            <x v="1"/>
          </reference>
          <reference field="6" count="1" selected="0">
            <x v="3"/>
          </reference>
        </references>
      </pivotArea>
    </chartFormat>
    <chartFormat chart="1" format="32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5" count="1" selected="0">
            <x v="2"/>
          </reference>
          <reference field="6" count="1" selected="0">
            <x v="1"/>
          </reference>
        </references>
      </pivotArea>
    </chartFormat>
    <chartFormat chart="1" format="33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5" count="1" selected="0">
            <x v="2"/>
          </reference>
          <reference field="6" count="1" selected="0">
            <x v="6"/>
          </reference>
        </references>
      </pivotArea>
    </chartFormat>
    <chartFormat chart="1" format="34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5" count="1" selected="0">
            <x v="2"/>
          </reference>
          <reference field="6" count="1" selected="0">
            <x v="7"/>
          </reference>
        </references>
      </pivotArea>
    </chartFormat>
    <chartFormat chart="1" format="35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5" count="1" selected="0">
            <x v="3"/>
          </reference>
          <reference field="6" count="1" selected="0">
            <x v="0"/>
          </reference>
        </references>
      </pivotArea>
    </chartFormat>
    <chartFormat chart="1" format="36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5" count="1" selected="0">
            <x v="3"/>
          </reference>
          <reference field="6" count="1" selected="0">
            <x v="1"/>
          </reference>
        </references>
      </pivotArea>
    </chartFormat>
    <chartFormat chart="1" format="37">
      <pivotArea type="data" outline="0" fieldPosition="0">
        <references count="4">
          <reference field="4294967294" count="1" selected="0">
            <x v="0"/>
          </reference>
          <reference field="1" count="1" selected="0">
            <x v="3"/>
          </reference>
          <reference field="5" count="1" selected="0">
            <x v="5"/>
          </reference>
          <reference field="6" count="1" selected="0">
            <x v="2"/>
          </reference>
        </references>
      </pivotArea>
    </chartFormat>
    <chartFormat chart="1" format="38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Table Style 1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0000000}" name="TCD_Activités" cacheId="51" applyNumberFormats="0" applyBorderFormats="0" applyFontFormats="0" applyPatternFormats="0" applyAlignmentFormats="0" applyWidthHeightFormats="1" dataCaption="Valeurs" showMissing="0" updatedVersion="6" minRefreshableVersion="3" useAutoFormatting="1" itemPrintTitles="1" mergeItem="1" createdVersion="6" indent="0" outline="1" outlineData="1" multipleFieldFilters="0" chartFormat="2" rowHeaderCaption="Taches" colHeaderCaption="Activités">
  <location ref="A4:C7" firstHeaderRow="1" firstDataRow="2" firstDataCol="1" rowPageCount="1" colPageCount="1"/>
  <pivotFields count="10">
    <pivotField showAll="0" defaultSubtotal="0">
      <items count="368">
        <item x="0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</items>
    </pivotField>
    <pivotField showAll="0"/>
    <pivotField showAll="0" defaultSubtotal="0"/>
    <pivotField showAll="0"/>
    <pivotField axis="axisPage" showAll="0">
      <items count="9">
        <item m="1" x="7"/>
        <item x="1"/>
        <item m="1" x="5"/>
        <item m="1" x="4"/>
        <item m="1" x="6"/>
        <item m="1" x="3"/>
        <item x="0"/>
        <item x="2"/>
        <item t="default"/>
      </items>
    </pivotField>
    <pivotField axis="axisRow" showAll="0" sortType="ascending">
      <items count="9">
        <item m="1" x="7"/>
        <item m="1" x="4"/>
        <item m="1" x="3"/>
        <item m="1" x="5"/>
        <item m="1" x="2"/>
        <item x="1"/>
        <item m="1" x="6"/>
        <item x="0"/>
        <item t="default"/>
      </items>
    </pivotField>
    <pivotField axis="axisCol" showAll="0" includeNewItemsInFilter="1" sumSubtotal="1">
      <items count="11">
        <item m="1" x="9"/>
        <item m="1" x="1"/>
        <item m="1" x="2"/>
        <item m="1" x="7"/>
        <item x="0"/>
        <item m="1" x="5"/>
        <item m="1" x="4"/>
        <item m="1" x="6"/>
        <item m="1" x="8"/>
        <item m="1" x="3"/>
        <item t="sum"/>
      </items>
    </pivotField>
    <pivotField showAll="0" defaultSubtotal="0"/>
    <pivotField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dataField="1" dragToRow="0" dragToCol="0" dragToPage="0" showAll="0" defaultSubtotal="0"/>
  </pivotFields>
  <rowFields count="1">
    <field x="5"/>
  </rowFields>
  <rowItems count="2">
    <i>
      <x v="7"/>
    </i>
    <i t="grand">
      <x/>
    </i>
  </rowItems>
  <colFields count="1">
    <field x="6"/>
  </colFields>
  <colItems count="2">
    <i>
      <x v="4"/>
    </i>
    <i t="grand">
      <x/>
    </i>
  </colItems>
  <pageFields count="1">
    <pageField fld="4" item="1" hier="-1"/>
  </pageFields>
  <dataFields count="1">
    <dataField name="Somme de Total" fld="9" baseField="0" baseItem="0" numFmtId="168"/>
  </dataFields>
  <formats count="2">
    <format dxfId="9">
      <pivotArea dataOnly="0" labelOnly="1" fieldPosition="0">
        <references count="1">
          <reference field="6" count="1">
            <x v="0"/>
          </reference>
        </references>
      </pivotArea>
    </format>
    <format dxfId="8">
      <pivotArea outline="0" collapsedLevelsAreSubtotals="1" fieldPosition="0"/>
    </format>
  </formats>
  <chartFormats count="15">
    <chartFormat chart="1" format="41" series="1">
      <pivotArea type="data" outline="0" fieldPosition="0">
        <references count="1">
          <reference field="6" count="1" selected="0">
            <x v="0"/>
          </reference>
        </references>
      </pivotArea>
    </chartFormat>
    <chartFormat chart="1" format="42" series="1">
      <pivotArea type="data" outline="0" fieldPosition="0">
        <references count="1">
          <reference field="6" count="1" selected="0">
            <x v="1"/>
          </reference>
        </references>
      </pivotArea>
    </chartFormat>
    <chartFormat chart="1" format="43" series="1">
      <pivotArea type="data" outline="0" fieldPosition="0">
        <references count="1">
          <reference field="6" count="1" selected="0">
            <x v="2"/>
          </reference>
        </references>
      </pivotArea>
    </chartFormat>
    <chartFormat chart="1" format="44" series="1">
      <pivotArea type="data" outline="0" fieldPosition="0">
        <references count="1">
          <reference field="6" count="1" selected="0">
            <x v="3"/>
          </reference>
        </references>
      </pivotArea>
    </chartFormat>
    <chartFormat chart="1" format="45" series="1">
      <pivotArea type="data" outline="0" fieldPosition="0">
        <references count="1">
          <reference field="6" count="1" selected="0">
            <x v="4"/>
          </reference>
        </references>
      </pivotArea>
    </chartFormat>
    <chartFormat chart="1" format="46" series="1">
      <pivotArea type="data" outline="0" fieldPosition="0">
        <references count="1">
          <reference field="6" count="1" selected="0">
            <x v="5"/>
          </reference>
        </references>
      </pivotArea>
    </chartFormat>
    <chartFormat chart="1" format="47" series="1">
      <pivotArea type="data" outline="0" fieldPosition="0">
        <references count="1">
          <reference field="6" count="1" selected="0">
            <x v="6"/>
          </reference>
        </references>
      </pivotArea>
    </chartFormat>
    <chartFormat chart="1" format="48" series="1">
      <pivotArea type="data" outline="0" fieldPosition="0">
        <references count="1">
          <reference field="6" count="1" selected="0">
            <x v="7"/>
          </reference>
        </references>
      </pivotArea>
    </chartFormat>
    <chartFormat chart="1" format="49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1" format="50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1" format="51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5"/>
          </reference>
        </references>
      </pivotArea>
    </chartFormat>
    <chartFormat chart="1" format="52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6"/>
          </reference>
        </references>
      </pivotArea>
    </chartFormat>
    <chartFormat chart="1" format="53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7"/>
          </reference>
        </references>
      </pivotArea>
    </chartFormat>
    <chartFormat chart="1" format="54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8"/>
          </reference>
        </references>
      </pivotArea>
    </chartFormat>
    <chartFormat chart="1" format="55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4"/>
          </reference>
        </references>
      </pivotArea>
    </chartFormat>
  </chartFormats>
  <pivotTableStyleInfo name="PivotTable Style 1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00000000}" name="TCD_Absences" cacheId="51" applyNumberFormats="0" applyBorderFormats="0" applyFontFormats="0" applyPatternFormats="0" applyAlignmentFormats="0" applyWidthHeightFormats="1" dataCaption="Valeurs" updatedVersion="6" minRefreshableVersion="3" useAutoFormatting="1" itemPrintTitles="1" createdVersion="6" indent="0" outline="1" outlineData="1" multipleFieldFilters="0" chartFormat="2" rowHeaderCaption="Matière" customListSort="0">
  <location ref="A6:C7" firstHeaderRow="1" firstDataRow="1" firstDataCol="2" rowPageCount="2" colPageCount="1"/>
  <pivotFields count="10">
    <pivotField showAll="0" defaultSubtotal="0">
      <items count="368">
        <item x="0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</items>
    </pivotField>
    <pivotField axis="axisRow" outline="0" multipleItemSelectionAllowed="1" showAll="0" includeNewItemsInFilter="1">
      <items count="6">
        <item m="1" x="2"/>
        <item m="1" x="1"/>
        <item h="1" x="0"/>
        <item m="1" x="3"/>
        <item m="1" x="4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howAll="0" defaultSubtotal="0"/>
    <pivotField showAll="0"/>
    <pivotField axis="axisRow" outline="0" multipleItemSelectionAllowed="1" showAll="0" insertBlankRow="1">
      <items count="9">
        <item m="1" x="7"/>
        <item x="1"/>
        <item m="1" x="5"/>
        <item m="1" x="4"/>
        <item m="1" x="6"/>
        <item m="1" x="3"/>
        <item x="0"/>
        <item x="2"/>
        <item t="default"/>
      </items>
    </pivotField>
    <pivotField axis="axisPage" outline="0" multipleItemSelectionAllowed="1" showAll="0" sumSubtotal="1">
      <items count="9">
        <item m="1" x="7"/>
        <item x="0"/>
        <item m="1" x="3"/>
        <item m="1" x="6"/>
        <item m="1" x="2"/>
        <item m="1" x="5"/>
        <item m="1" x="4"/>
        <item x="1"/>
        <item t="sum"/>
      </items>
    </pivotField>
    <pivotField outline="0" showAll="0"/>
    <pivotField showAll="0" defaultSubtotal="0"/>
    <pivotField axis="axisPage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dataField="1" dragToRow="0" dragToCol="0" dragToPage="0" showAll="0" defaultSubtotal="0"/>
  </pivotFields>
  <rowFields count="2">
    <field x="4"/>
    <field x="1"/>
  </rowFields>
  <rowItems count="1">
    <i t="grand">
      <x/>
    </i>
  </rowItems>
  <colItems count="1">
    <i/>
  </colItems>
  <pageFields count="2">
    <pageField fld="5" hier="-1"/>
    <pageField fld="8" hier="-1"/>
  </pageFields>
  <dataFields count="1">
    <dataField name="Total_Absences" fld="9" baseField="4" baseItem="2" numFmtId="168"/>
  </dataFields>
  <chartFormats count="1">
    <chartFormat chart="1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Table Style 1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Type" xr10:uid="{00000000-0013-0000-FFFF-FFFF01000000}" sourceName="Type">
  <extLst>
    <x:ext xmlns:x15="http://schemas.microsoft.com/office/spreadsheetml/2010/11/main" uri="{2F2917AC-EB37-4324-AD4E-5DD8C200BD13}">
      <x15:tableSlicerCache tableId="1" column="2"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Matière" xr10:uid="{00000000-0013-0000-FFFF-FFFF02000000}" sourceName="Matière">
  <extLst>
    <x:ext xmlns:x15="http://schemas.microsoft.com/office/spreadsheetml/2010/11/main" uri="{2F2917AC-EB37-4324-AD4E-5DD8C200BD13}">
      <x15:tableSlicerCache tableId="1" column="6"/>
    </x:ext>
  </extLst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Tâche" xr10:uid="{00000000-0013-0000-FFFF-FFFF03000000}" sourceName="Tâche">
  <extLst>
    <x:ext xmlns:x15="http://schemas.microsoft.com/office/spreadsheetml/2010/11/main" uri="{2F2917AC-EB37-4324-AD4E-5DD8C200BD13}">
      <x15:tableSlicerCache tableId="1" column="7"/>
    </x:ext>
  </extLst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Activité" xr10:uid="{00000000-0013-0000-FFFF-FFFF04000000}" sourceName="Activité">
  <extLst>
    <x:ext xmlns:x15="http://schemas.microsoft.com/office/spreadsheetml/2010/11/main" uri="{2F2917AC-EB37-4324-AD4E-5DD8C200BD13}">
      <x15:tableSlicerCache tableId="1" column="8"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ype" xr10:uid="{00000000-0014-0000-FFFF-FFFF01000000}" cache="Segment_Type" caption="Type" rowHeight="225425"/>
  <slicer name="Matière" xr10:uid="{00000000-0014-0000-FFFF-FFFF02000000}" cache="Segment_Matière" caption="Matière" rowHeight="225425"/>
  <slicer name="Tâche" xr10:uid="{00000000-0014-0000-FFFF-FFFF03000000}" cache="Segment_Tâche" caption="Tâche" rowHeight="225425"/>
  <slicer name="Activité" xr10:uid="{00000000-0014-0000-FFFF-FFFF04000000}" cache="Segment_Activité" caption="Activité" rowHeight="22542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Lignes_journal" displayName="Lignes_journal" ref="C3:J146" totalsRowCount="1" headerRowDxfId="37" tableBorderDxfId="36" headerRowCellStyle="Titre 2">
  <autoFilter ref="C3:J145" xr:uid="{00000000-0009-0000-0100-000001000000}"/>
  <tableColumns count="8">
    <tableColumn id="1" xr3:uid="{00000000-0010-0000-0000-000001000000}" name="Date" totalsRowLabel="Total" dataDxfId="35" totalsRowDxfId="7"/>
    <tableColumn id="2" xr3:uid="{00000000-0010-0000-0000-000002000000}" name="Type" dataDxfId="34" totalsRowDxfId="6"/>
    <tableColumn id="3" xr3:uid="{00000000-0010-0000-0000-000003000000}" name="Début" dataDxfId="33" totalsRowDxfId="5"/>
    <tableColumn id="4" xr3:uid="{00000000-0010-0000-0000-000004000000}" name="Fin" dataDxfId="32" totalsRowDxfId="4"/>
    <tableColumn id="6" xr3:uid="{00000000-0010-0000-0000-000006000000}" name="Matière" dataDxfId="31" totalsRowDxfId="3"/>
    <tableColumn id="7" xr3:uid="{00000000-0010-0000-0000-000007000000}" name="Tâche" dataDxfId="30" totalsRowDxfId="2"/>
    <tableColumn id="8" xr3:uid="{00000000-0010-0000-0000-000008000000}" name="Activité" dataDxfId="29" totalsRowDxfId="1"/>
    <tableColumn id="9" xr3:uid="{00000000-0010-0000-0000-000009000000}" name="Détail" dataDxfId="28" totalsRowDxfId="0"/>
  </tableColumns>
  <tableStyleInfo name="Employee Training Tracker - Log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Employee Training Tracker">
      <a:dk1>
        <a:srgbClr val="000000"/>
      </a:dk1>
      <a:lt1>
        <a:srgbClr val="FFFFFF"/>
      </a:lt1>
      <a:dk2>
        <a:srgbClr val="382B40"/>
      </a:dk2>
      <a:lt2>
        <a:srgbClr val="F9F8E8"/>
      </a:lt2>
      <a:accent1>
        <a:srgbClr val="EB6D4A"/>
      </a:accent1>
      <a:accent2>
        <a:srgbClr val="54A6AD"/>
      </a:accent2>
      <a:accent3>
        <a:srgbClr val="EBB54A"/>
      </a:accent3>
      <a:accent4>
        <a:srgbClr val="F2913B"/>
      </a:accent4>
      <a:accent5>
        <a:srgbClr val="93C77E"/>
      </a:accent5>
      <a:accent6>
        <a:srgbClr val="A1788F"/>
      </a:accent6>
      <a:hlink>
        <a:srgbClr val="54A6AD"/>
      </a:hlink>
      <a:folHlink>
        <a:srgbClr val="A1788F"/>
      </a:folHlink>
    </a:clrScheme>
    <a:fontScheme name="Employee Training Tracker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autoPageBreaks="0"/>
  </sheetPr>
  <dimension ref="A1:J146"/>
  <sheetViews>
    <sheetView showGridLines="0" tabSelected="1" zoomScaleNormal="100" zoomScaleSheetLayoutView="160" workbookViewId="0">
      <pane ySplit="3" topLeftCell="A4" activePane="bottomLeft" state="frozen"/>
      <selection activeCell="E35" sqref="E35"/>
      <selection pane="bottomLeft" activeCell="H4" sqref="H4"/>
    </sheetView>
  </sheetViews>
  <sheetFormatPr baseColWidth="10" defaultColWidth="9.140625" defaultRowHeight="18" customHeight="1" x14ac:dyDescent="0.3"/>
  <cols>
    <col min="1" max="1" width="7.85546875" style="3" customWidth="1"/>
    <col min="2" max="2" width="3.5703125" customWidth="1"/>
    <col min="3" max="3" width="27.85546875" customWidth="1"/>
    <col min="4" max="4" width="11.7109375" customWidth="1"/>
    <col min="5" max="6" width="12.7109375" style="7" customWidth="1"/>
    <col min="7" max="7" width="13.85546875" style="7" customWidth="1"/>
    <col min="8" max="9" width="15.42578125" customWidth="1"/>
    <col min="10" max="10" width="64.85546875" customWidth="1"/>
    <col min="11" max="17" width="19.85546875" customWidth="1"/>
  </cols>
  <sheetData>
    <row r="1" spans="1:10" ht="59.25" customHeight="1" thickBot="1" x14ac:dyDescent="0.35">
      <c r="C1" s="84" t="s">
        <v>0</v>
      </c>
      <c r="D1" s="84"/>
      <c r="E1" s="84"/>
      <c r="F1" s="84"/>
      <c r="G1" s="84"/>
      <c r="H1" s="84"/>
      <c r="I1" s="84"/>
      <c r="J1" s="73" t="str">
        <f>Configurations!E7&amp;" - "&amp;Configurations!E8</f>
        <v>2018 - 2019</v>
      </c>
    </row>
    <row r="2" spans="1:10" ht="210.75" customHeight="1" thickTop="1" x14ac:dyDescent="0.3">
      <c r="C2" s="43"/>
      <c r="D2" s="43"/>
      <c r="E2" s="43"/>
      <c r="F2" s="43"/>
      <c r="G2" s="43"/>
      <c r="H2" s="44"/>
      <c r="I2" s="44"/>
      <c r="J2" s="45"/>
    </row>
    <row r="3" spans="1:10" s="5" customFormat="1" ht="19.5" customHeight="1" thickBot="1" x14ac:dyDescent="0.35">
      <c r="A3" s="4"/>
      <c r="C3" s="35" t="s">
        <v>1</v>
      </c>
      <c r="D3" s="36" t="s">
        <v>2</v>
      </c>
      <c r="E3" s="36" t="s">
        <v>3</v>
      </c>
      <c r="F3" s="36" t="s">
        <v>4</v>
      </c>
      <c r="G3" s="36" t="s">
        <v>5</v>
      </c>
      <c r="H3" s="36" t="s">
        <v>6</v>
      </c>
      <c r="I3" s="36" t="s">
        <v>7</v>
      </c>
      <c r="J3" s="37" t="s">
        <v>8</v>
      </c>
    </row>
    <row r="4" spans="1:10" s="23" customFormat="1" ht="28.5" customHeight="1" thickTop="1" thickBot="1" x14ac:dyDescent="0.35">
      <c r="A4" s="6"/>
      <c r="C4" s="33">
        <v>43696</v>
      </c>
      <c r="D4" s="27"/>
      <c r="E4" s="28"/>
      <c r="F4" s="28"/>
      <c r="G4" s="29" t="s">
        <v>71</v>
      </c>
      <c r="H4" s="27"/>
      <c r="I4" s="32"/>
      <c r="J4" s="77"/>
    </row>
    <row r="5" spans="1:10" s="23" customFormat="1" ht="28.5" customHeight="1" thickTop="1" thickBot="1" x14ac:dyDescent="0.35">
      <c r="A5" s="6"/>
      <c r="C5" s="33">
        <v>43697</v>
      </c>
      <c r="D5" s="30"/>
      <c r="E5" s="31"/>
      <c r="F5" s="31"/>
      <c r="G5" s="42"/>
      <c r="H5" s="49"/>
      <c r="I5" s="32"/>
      <c r="J5" s="49"/>
    </row>
    <row r="6" spans="1:10" s="23" customFormat="1" ht="28.5" customHeight="1" thickTop="1" thickBot="1" x14ac:dyDescent="0.35">
      <c r="A6" s="6"/>
      <c r="C6" s="33"/>
      <c r="D6" s="30"/>
      <c r="E6" s="31"/>
      <c r="F6" s="31"/>
      <c r="G6" s="42"/>
      <c r="H6" s="49"/>
      <c r="I6" s="32"/>
      <c r="J6" s="76"/>
    </row>
    <row r="7" spans="1:10" s="23" customFormat="1" ht="28.5" customHeight="1" thickTop="1" thickBot="1" x14ac:dyDescent="0.35">
      <c r="A7" s="6"/>
      <c r="C7" s="33"/>
      <c r="D7" s="30"/>
      <c r="E7" s="31"/>
      <c r="F7" s="31"/>
      <c r="G7" s="42"/>
      <c r="H7" s="49"/>
      <c r="I7" s="32"/>
      <c r="J7" s="32"/>
    </row>
    <row r="8" spans="1:10" s="23" customFormat="1" ht="28.5" customHeight="1" thickTop="1" thickBot="1" x14ac:dyDescent="0.35">
      <c r="A8" s="6"/>
      <c r="C8" s="33"/>
      <c r="D8" s="30"/>
      <c r="E8" s="31"/>
      <c r="F8" s="31"/>
      <c r="G8" s="42"/>
      <c r="H8" s="49"/>
      <c r="I8" s="32"/>
      <c r="J8" s="76"/>
    </row>
    <row r="9" spans="1:10" s="23" customFormat="1" ht="28.5" customHeight="1" thickTop="1" thickBot="1" x14ac:dyDescent="0.35">
      <c r="A9" s="6"/>
      <c r="C9" s="33"/>
      <c r="D9" s="30"/>
      <c r="E9" s="31"/>
      <c r="F9" s="31"/>
      <c r="G9" s="42"/>
      <c r="H9" s="49"/>
      <c r="I9" s="49"/>
      <c r="J9" s="49"/>
    </row>
    <row r="10" spans="1:10" s="23" customFormat="1" ht="28.5" customHeight="1" thickTop="1" thickBot="1" x14ac:dyDescent="0.35">
      <c r="A10" s="6"/>
      <c r="C10" s="33"/>
      <c r="D10" s="30"/>
      <c r="E10" s="31"/>
      <c r="F10" s="31"/>
      <c r="G10" s="42" t="s">
        <v>36</v>
      </c>
      <c r="H10" s="49" t="s">
        <v>73</v>
      </c>
      <c r="I10" s="48"/>
      <c r="J10" s="32"/>
    </row>
    <row r="11" spans="1:10" s="23" customFormat="1" ht="28.5" customHeight="1" thickTop="1" thickBot="1" x14ac:dyDescent="0.35">
      <c r="A11" s="6"/>
      <c r="C11" s="33"/>
      <c r="D11" s="30"/>
      <c r="E11" s="31"/>
      <c r="F11" s="31"/>
      <c r="G11" s="42"/>
      <c r="H11" s="49"/>
      <c r="I11" s="48"/>
      <c r="J11" s="32"/>
    </row>
    <row r="12" spans="1:10" s="23" customFormat="1" ht="28.5" customHeight="1" thickTop="1" thickBot="1" x14ac:dyDescent="0.35">
      <c r="A12" s="6"/>
      <c r="C12" s="33"/>
      <c r="D12" s="30"/>
      <c r="E12" s="31"/>
      <c r="F12" s="31"/>
      <c r="G12" s="42"/>
      <c r="H12" s="49"/>
      <c r="I12" s="48"/>
      <c r="J12" s="32"/>
    </row>
    <row r="13" spans="1:10" s="23" customFormat="1" ht="28.5" customHeight="1" thickTop="1" thickBot="1" x14ac:dyDescent="0.35">
      <c r="A13" s="6"/>
      <c r="C13" s="33"/>
      <c r="D13" s="30"/>
      <c r="E13" s="31"/>
      <c r="F13" s="31"/>
      <c r="G13" s="42"/>
      <c r="H13" s="49"/>
      <c r="I13" s="48"/>
      <c r="J13" s="32"/>
    </row>
    <row r="14" spans="1:10" s="23" customFormat="1" ht="28.5" customHeight="1" thickTop="1" thickBot="1" x14ac:dyDescent="0.35">
      <c r="A14" s="6"/>
      <c r="C14" s="33"/>
      <c r="D14" s="30"/>
      <c r="E14" s="31"/>
      <c r="F14" s="31"/>
      <c r="G14" s="42"/>
      <c r="H14" s="49"/>
      <c r="I14" s="48"/>
      <c r="J14" s="32"/>
    </row>
    <row r="15" spans="1:10" s="23" customFormat="1" ht="28.5" customHeight="1" thickTop="1" thickBot="1" x14ac:dyDescent="0.35">
      <c r="A15" s="6"/>
      <c r="C15" s="33"/>
      <c r="D15" s="30"/>
      <c r="E15" s="31"/>
      <c r="F15" s="31"/>
      <c r="G15" s="42"/>
      <c r="H15" s="49"/>
      <c r="I15" s="32"/>
      <c r="J15" s="32"/>
    </row>
    <row r="16" spans="1:10" s="23" customFormat="1" ht="28.5" customHeight="1" thickTop="1" thickBot="1" x14ac:dyDescent="0.35">
      <c r="A16" s="6"/>
      <c r="C16" s="33"/>
      <c r="D16" s="30"/>
      <c r="E16" s="31"/>
      <c r="F16" s="31"/>
      <c r="G16" s="42"/>
      <c r="H16" s="40"/>
      <c r="I16" s="32"/>
      <c r="J16" s="32"/>
    </row>
    <row r="17" spans="1:10" s="23" customFormat="1" ht="28.5" customHeight="1" thickTop="1" thickBot="1" x14ac:dyDescent="0.35">
      <c r="A17" s="6"/>
      <c r="C17" s="33"/>
      <c r="D17" s="30"/>
      <c r="E17" s="31"/>
      <c r="F17" s="31"/>
      <c r="G17" s="42"/>
      <c r="H17" s="40"/>
      <c r="I17" s="32"/>
      <c r="J17" s="32"/>
    </row>
    <row r="18" spans="1:10" s="23" customFormat="1" ht="28.5" customHeight="1" thickTop="1" thickBot="1" x14ac:dyDescent="0.35">
      <c r="A18" s="6"/>
      <c r="C18" s="33"/>
      <c r="D18" s="40"/>
      <c r="E18" s="31"/>
      <c r="F18" s="31"/>
      <c r="G18" s="42"/>
      <c r="H18" s="40"/>
      <c r="I18" s="32"/>
      <c r="J18" s="32"/>
    </row>
    <row r="19" spans="1:10" s="23" customFormat="1" ht="28.5" customHeight="1" thickTop="1" thickBot="1" x14ac:dyDescent="0.35">
      <c r="A19" s="6"/>
      <c r="C19" s="33"/>
      <c r="D19" s="40"/>
      <c r="E19" s="31"/>
      <c r="F19" s="31"/>
      <c r="G19" s="42"/>
      <c r="H19" s="40"/>
      <c r="I19" s="32"/>
      <c r="J19" s="32"/>
    </row>
    <row r="20" spans="1:10" s="23" customFormat="1" ht="28.5" customHeight="1" thickTop="1" thickBot="1" x14ac:dyDescent="0.35">
      <c r="A20" s="6"/>
      <c r="C20" s="33"/>
      <c r="D20" s="40"/>
      <c r="E20" s="31"/>
      <c r="F20" s="31"/>
      <c r="G20" s="42"/>
      <c r="H20" s="40"/>
      <c r="I20" s="32"/>
      <c r="J20" s="76"/>
    </row>
    <row r="21" spans="1:10" s="23" customFormat="1" ht="28.5" customHeight="1" thickTop="1" thickBot="1" x14ac:dyDescent="0.35">
      <c r="A21" s="6"/>
      <c r="C21" s="33"/>
      <c r="D21" s="40"/>
      <c r="E21" s="31"/>
      <c r="F21" s="31"/>
      <c r="G21" s="42"/>
      <c r="H21" s="40"/>
      <c r="I21" s="32"/>
      <c r="J21" s="32"/>
    </row>
    <row r="22" spans="1:10" s="23" customFormat="1" ht="28.5" customHeight="1" thickTop="1" thickBot="1" x14ac:dyDescent="0.35">
      <c r="A22" s="6"/>
      <c r="C22" s="33"/>
      <c r="D22" s="40"/>
      <c r="E22" s="31"/>
      <c r="F22" s="31"/>
      <c r="G22" s="42"/>
      <c r="H22" s="40"/>
      <c r="I22" s="32"/>
      <c r="J22" s="32"/>
    </row>
    <row r="23" spans="1:10" s="23" customFormat="1" ht="28.5" customHeight="1" thickTop="1" thickBot="1" x14ac:dyDescent="0.35">
      <c r="A23" s="6"/>
      <c r="C23" s="33"/>
      <c r="D23" s="40"/>
      <c r="E23" s="31"/>
      <c r="F23" s="31"/>
      <c r="G23" s="42"/>
      <c r="H23" s="40"/>
      <c r="I23" s="32"/>
      <c r="J23" s="32"/>
    </row>
    <row r="24" spans="1:10" s="23" customFormat="1" ht="28.5" customHeight="1" thickTop="1" thickBot="1" x14ac:dyDescent="0.35">
      <c r="A24" s="6"/>
      <c r="C24" s="33"/>
      <c r="D24" s="40"/>
      <c r="E24" s="31"/>
      <c r="F24" s="31"/>
      <c r="G24" s="42"/>
      <c r="H24" s="40"/>
      <c r="I24" s="32"/>
      <c r="J24" s="32"/>
    </row>
    <row r="25" spans="1:10" s="23" customFormat="1" ht="28.5" customHeight="1" thickTop="1" thickBot="1" x14ac:dyDescent="0.35">
      <c r="A25" s="6"/>
      <c r="C25" s="33"/>
      <c r="D25" s="83"/>
      <c r="E25" s="31"/>
      <c r="F25" s="31"/>
      <c r="G25" s="42"/>
      <c r="H25" s="40"/>
      <c r="I25" s="32"/>
      <c r="J25" s="32"/>
    </row>
    <row r="26" spans="1:10" s="23" customFormat="1" ht="28.5" customHeight="1" thickTop="1" thickBot="1" x14ac:dyDescent="0.35">
      <c r="A26" s="6"/>
      <c r="C26" s="33"/>
      <c r="D26" s="40"/>
      <c r="E26" s="31"/>
      <c r="F26" s="31"/>
      <c r="G26" s="42"/>
      <c r="H26" s="40"/>
      <c r="I26" s="32"/>
      <c r="J26" s="32"/>
    </row>
    <row r="27" spans="1:10" s="23" customFormat="1" ht="28.5" customHeight="1" thickTop="1" thickBot="1" x14ac:dyDescent="0.35">
      <c r="A27" s="6"/>
      <c r="C27" s="33"/>
      <c r="D27" s="40"/>
      <c r="E27" s="31"/>
      <c r="F27" s="31"/>
      <c r="G27" s="42"/>
      <c r="H27" s="40"/>
      <c r="I27" s="32"/>
      <c r="J27" s="32"/>
    </row>
    <row r="28" spans="1:10" s="23" customFormat="1" ht="28.5" customHeight="1" thickTop="1" thickBot="1" x14ac:dyDescent="0.35">
      <c r="A28" s="6"/>
      <c r="C28" s="33"/>
      <c r="D28" s="40"/>
      <c r="E28" s="31"/>
      <c r="F28" s="31"/>
      <c r="G28" s="42"/>
      <c r="H28" s="40"/>
      <c r="I28" s="32"/>
      <c r="J28" s="32"/>
    </row>
    <row r="29" spans="1:10" s="23" customFormat="1" ht="28.5" customHeight="1" thickTop="1" thickBot="1" x14ac:dyDescent="0.35">
      <c r="A29" s="6"/>
      <c r="C29" s="33"/>
      <c r="D29" s="83"/>
      <c r="E29" s="31"/>
      <c r="F29" s="31"/>
      <c r="G29" s="42"/>
      <c r="H29" s="40"/>
      <c r="I29" s="32"/>
      <c r="J29" s="32"/>
    </row>
    <row r="30" spans="1:10" s="23" customFormat="1" ht="28.5" customHeight="1" thickTop="1" thickBot="1" x14ac:dyDescent="0.35">
      <c r="A30" s="6"/>
      <c r="C30" s="33"/>
      <c r="D30" s="40"/>
      <c r="E30" s="31"/>
      <c r="F30" s="31"/>
      <c r="G30" s="42"/>
      <c r="H30" s="40"/>
      <c r="I30" s="32"/>
      <c r="J30" s="32"/>
    </row>
    <row r="31" spans="1:10" s="23" customFormat="1" ht="28.5" customHeight="1" thickTop="1" thickBot="1" x14ac:dyDescent="0.35">
      <c r="A31" s="6"/>
      <c r="C31" s="33"/>
      <c r="D31" s="40"/>
      <c r="E31" s="31"/>
      <c r="F31" s="31"/>
      <c r="G31" s="42"/>
      <c r="H31" s="40"/>
      <c r="I31" s="32"/>
      <c r="J31" s="32"/>
    </row>
    <row r="32" spans="1:10" s="23" customFormat="1" ht="28.5" customHeight="1" thickTop="1" thickBot="1" x14ac:dyDescent="0.35">
      <c r="A32" s="6"/>
      <c r="C32" s="33"/>
      <c r="D32" s="40"/>
      <c r="E32" s="31"/>
      <c r="F32" s="31"/>
      <c r="G32" s="42"/>
      <c r="H32" s="40"/>
      <c r="I32" s="32"/>
      <c r="J32" s="32"/>
    </row>
    <row r="33" spans="1:10" s="23" customFormat="1" ht="28.5" customHeight="1" thickTop="1" thickBot="1" x14ac:dyDescent="0.35">
      <c r="A33" s="6"/>
      <c r="C33" s="33"/>
      <c r="D33" s="40"/>
      <c r="E33" s="31"/>
      <c r="F33" s="31"/>
      <c r="G33" s="42"/>
      <c r="H33" s="40"/>
      <c r="I33" s="32"/>
      <c r="J33" s="32"/>
    </row>
    <row r="34" spans="1:10" s="23" customFormat="1" ht="28.5" customHeight="1" thickTop="1" thickBot="1" x14ac:dyDescent="0.35">
      <c r="A34" s="6"/>
      <c r="C34" s="33"/>
      <c r="D34" s="40"/>
      <c r="E34" s="31"/>
      <c r="F34" s="31"/>
      <c r="G34" s="42"/>
      <c r="H34" s="40"/>
      <c r="I34" s="32"/>
      <c r="J34" s="32"/>
    </row>
    <row r="35" spans="1:10" s="23" customFormat="1" ht="28.5" customHeight="1" thickTop="1" thickBot="1" x14ac:dyDescent="0.35">
      <c r="A35" s="6"/>
      <c r="C35" s="33"/>
      <c r="D35" s="40"/>
      <c r="E35" s="31"/>
      <c r="F35" s="31"/>
      <c r="G35" s="42"/>
      <c r="H35" s="40"/>
      <c r="I35" s="32"/>
      <c r="J35" s="32"/>
    </row>
    <row r="36" spans="1:10" s="23" customFormat="1" ht="28.5" customHeight="1" thickTop="1" thickBot="1" x14ac:dyDescent="0.35">
      <c r="A36" s="6"/>
      <c r="C36" s="33"/>
      <c r="D36" s="40"/>
      <c r="E36" s="31"/>
      <c r="F36" s="31"/>
      <c r="G36" s="42"/>
      <c r="H36" s="40"/>
      <c r="I36" s="32"/>
      <c r="J36" s="32"/>
    </row>
    <row r="37" spans="1:10" s="23" customFormat="1" ht="28.5" customHeight="1" thickTop="1" thickBot="1" x14ac:dyDescent="0.35">
      <c r="A37" s="6"/>
      <c r="C37" s="33"/>
      <c r="D37" s="40"/>
      <c r="E37" s="31"/>
      <c r="F37" s="31"/>
      <c r="G37" s="42"/>
      <c r="H37" s="40"/>
      <c r="I37" s="32"/>
      <c r="J37" s="32"/>
    </row>
    <row r="38" spans="1:10" s="23" customFormat="1" ht="28.5" customHeight="1" thickTop="1" thickBot="1" x14ac:dyDescent="0.35">
      <c r="A38" s="6"/>
      <c r="C38" s="33"/>
      <c r="D38" s="40"/>
      <c r="E38" s="31"/>
      <c r="F38" s="31"/>
      <c r="G38" s="42"/>
      <c r="H38" s="40"/>
      <c r="I38" s="32"/>
      <c r="J38" s="32"/>
    </row>
    <row r="39" spans="1:10" s="23" customFormat="1" ht="28.5" customHeight="1" thickTop="1" thickBot="1" x14ac:dyDescent="0.35">
      <c r="A39" s="6"/>
      <c r="C39" s="33"/>
      <c r="D39" s="40"/>
      <c r="E39" s="31"/>
      <c r="F39" s="31"/>
      <c r="G39" s="42"/>
      <c r="H39" s="40"/>
      <c r="I39" s="32"/>
      <c r="J39" s="32"/>
    </row>
    <row r="40" spans="1:10" s="23" customFormat="1" ht="28.5" customHeight="1" thickTop="1" thickBot="1" x14ac:dyDescent="0.35">
      <c r="A40" s="6"/>
      <c r="C40" s="33"/>
      <c r="D40" s="40"/>
      <c r="E40" s="31"/>
      <c r="F40" s="31"/>
      <c r="G40" s="42"/>
      <c r="H40" s="40"/>
      <c r="I40" s="32"/>
      <c r="J40" s="32"/>
    </row>
    <row r="41" spans="1:10" s="23" customFormat="1" ht="28.5" customHeight="1" thickTop="1" thickBot="1" x14ac:dyDescent="0.35">
      <c r="A41" s="6"/>
      <c r="C41" s="33"/>
      <c r="D41" s="40"/>
      <c r="E41" s="31"/>
      <c r="F41" s="31"/>
      <c r="G41" s="42"/>
      <c r="H41" s="40"/>
      <c r="I41" s="32"/>
      <c r="J41" s="32"/>
    </row>
    <row r="42" spans="1:10" s="23" customFormat="1" ht="28.5" customHeight="1" thickTop="1" thickBot="1" x14ac:dyDescent="0.35">
      <c r="A42" s="6"/>
      <c r="C42" s="33"/>
      <c r="D42" s="40"/>
      <c r="E42" s="31"/>
      <c r="F42" s="31"/>
      <c r="G42" s="42"/>
      <c r="H42" s="40"/>
      <c r="I42" s="32"/>
      <c r="J42" s="32"/>
    </row>
    <row r="43" spans="1:10" s="23" customFormat="1" ht="28.5" customHeight="1" thickTop="1" thickBot="1" x14ac:dyDescent="0.35">
      <c r="A43" s="6"/>
      <c r="C43" s="33"/>
      <c r="D43" s="40"/>
      <c r="E43" s="31"/>
      <c r="F43" s="31"/>
      <c r="G43" s="42"/>
      <c r="H43" s="40"/>
      <c r="I43" s="32"/>
      <c r="J43" s="32"/>
    </row>
    <row r="44" spans="1:10" s="23" customFormat="1" ht="28.5" customHeight="1" thickTop="1" thickBot="1" x14ac:dyDescent="0.35">
      <c r="A44" s="6"/>
      <c r="C44" s="33"/>
      <c r="D44" s="40"/>
      <c r="E44" s="31"/>
      <c r="F44" s="31"/>
      <c r="G44" s="42"/>
      <c r="H44" s="40"/>
      <c r="I44" s="32"/>
      <c r="J44" s="32"/>
    </row>
    <row r="45" spans="1:10" s="23" customFormat="1" ht="28.5" customHeight="1" thickTop="1" thickBot="1" x14ac:dyDescent="0.35">
      <c r="A45" s="6"/>
      <c r="C45" s="33"/>
      <c r="D45" s="40"/>
      <c r="E45" s="31"/>
      <c r="F45" s="31"/>
      <c r="G45" s="42"/>
      <c r="H45" s="40"/>
      <c r="I45" s="32"/>
      <c r="J45" s="32"/>
    </row>
    <row r="46" spans="1:10" s="23" customFormat="1" ht="28.5" customHeight="1" thickTop="1" thickBot="1" x14ac:dyDescent="0.35">
      <c r="A46" s="6"/>
      <c r="C46" s="33"/>
      <c r="D46" s="40"/>
      <c r="E46" s="31"/>
      <c r="F46" s="31"/>
      <c r="G46" s="42"/>
      <c r="H46" s="40"/>
      <c r="I46" s="32"/>
      <c r="J46" s="32"/>
    </row>
    <row r="47" spans="1:10" s="23" customFormat="1" ht="28.5" customHeight="1" thickTop="1" thickBot="1" x14ac:dyDescent="0.35">
      <c r="A47" s="6"/>
      <c r="C47" s="33"/>
      <c r="D47" s="40"/>
      <c r="E47" s="31"/>
      <c r="F47" s="31"/>
      <c r="G47" s="42"/>
      <c r="H47" s="40"/>
      <c r="I47" s="32"/>
      <c r="J47" s="32"/>
    </row>
    <row r="48" spans="1:10" s="23" customFormat="1" ht="28.5" customHeight="1" thickTop="1" thickBot="1" x14ac:dyDescent="0.35">
      <c r="A48" s="6"/>
      <c r="C48" s="33"/>
      <c r="D48" s="40"/>
      <c r="E48" s="31"/>
      <c r="F48" s="31"/>
      <c r="G48" s="42"/>
      <c r="H48" s="40"/>
      <c r="I48" s="32"/>
      <c r="J48" s="32"/>
    </row>
    <row r="49" spans="1:10" s="23" customFormat="1" ht="28.5" customHeight="1" thickTop="1" thickBot="1" x14ac:dyDescent="0.35">
      <c r="A49" s="6"/>
      <c r="C49" s="33"/>
      <c r="D49" s="40"/>
      <c r="E49" s="31"/>
      <c r="F49" s="31"/>
      <c r="G49" s="42"/>
      <c r="H49" s="40"/>
      <c r="I49" s="32"/>
      <c r="J49" s="32"/>
    </row>
    <row r="50" spans="1:10" s="23" customFormat="1" ht="28.5" customHeight="1" thickTop="1" thickBot="1" x14ac:dyDescent="0.35">
      <c r="A50" s="6"/>
      <c r="C50" s="33"/>
      <c r="D50" s="40"/>
      <c r="E50" s="31"/>
      <c r="F50" s="31"/>
      <c r="G50" s="42"/>
      <c r="H50" s="40"/>
      <c r="I50" s="32"/>
      <c r="J50" s="32"/>
    </row>
    <row r="51" spans="1:10" s="23" customFormat="1" ht="28.5" customHeight="1" thickTop="1" thickBot="1" x14ac:dyDescent="0.35">
      <c r="A51" s="6"/>
      <c r="C51" s="33"/>
      <c r="D51" s="40"/>
      <c r="E51" s="31"/>
      <c r="F51" s="31"/>
      <c r="G51" s="42"/>
      <c r="H51" s="40"/>
      <c r="I51" s="32"/>
      <c r="J51" s="32"/>
    </row>
    <row r="52" spans="1:10" s="23" customFormat="1" ht="28.5" customHeight="1" thickTop="1" thickBot="1" x14ac:dyDescent="0.35">
      <c r="A52" s="6"/>
      <c r="C52" s="33"/>
      <c r="D52" s="40"/>
      <c r="E52" s="31"/>
      <c r="F52" s="31"/>
      <c r="G52" s="42"/>
      <c r="H52" s="40"/>
      <c r="I52" s="32"/>
      <c r="J52" s="32"/>
    </row>
    <row r="53" spans="1:10" s="23" customFormat="1" ht="28.5" customHeight="1" thickTop="1" thickBot="1" x14ac:dyDescent="0.35">
      <c r="A53" s="6"/>
      <c r="C53" s="33"/>
      <c r="D53" s="40"/>
      <c r="E53" s="31"/>
      <c r="F53" s="31"/>
      <c r="G53" s="42"/>
      <c r="H53" s="40"/>
      <c r="I53" s="32"/>
      <c r="J53" s="32"/>
    </row>
    <row r="54" spans="1:10" s="23" customFormat="1" ht="28.5" customHeight="1" thickTop="1" thickBot="1" x14ac:dyDescent="0.35">
      <c r="A54" s="6"/>
      <c r="C54" s="33"/>
      <c r="D54" s="40"/>
      <c r="E54" s="31"/>
      <c r="F54" s="31"/>
      <c r="G54" s="42"/>
      <c r="H54" s="40"/>
      <c r="I54" s="32"/>
      <c r="J54" s="32"/>
    </row>
    <row r="55" spans="1:10" s="23" customFormat="1" ht="28.5" customHeight="1" thickTop="1" thickBot="1" x14ac:dyDescent="0.35">
      <c r="A55" s="6"/>
      <c r="C55" s="33"/>
      <c r="D55" s="40"/>
      <c r="E55" s="31"/>
      <c r="F55" s="31"/>
      <c r="G55" s="42"/>
      <c r="H55" s="40"/>
      <c r="I55" s="32"/>
      <c r="J55" s="32"/>
    </row>
    <row r="56" spans="1:10" s="23" customFormat="1" ht="28.5" customHeight="1" thickTop="1" thickBot="1" x14ac:dyDescent="0.35">
      <c r="A56" s="6"/>
      <c r="C56" s="33"/>
      <c r="D56" s="40"/>
      <c r="E56" s="31"/>
      <c r="F56" s="31"/>
      <c r="G56" s="42"/>
      <c r="H56" s="40"/>
      <c r="I56" s="32"/>
      <c r="J56" s="32"/>
    </row>
    <row r="57" spans="1:10" s="23" customFormat="1" ht="28.5" customHeight="1" thickTop="1" thickBot="1" x14ac:dyDescent="0.35">
      <c r="A57" s="6"/>
      <c r="C57" s="33"/>
      <c r="D57" s="40"/>
      <c r="E57" s="31"/>
      <c r="F57" s="31"/>
      <c r="G57" s="42"/>
      <c r="H57" s="40"/>
      <c r="I57" s="32"/>
      <c r="J57" s="32"/>
    </row>
    <row r="58" spans="1:10" s="23" customFormat="1" ht="28.5" customHeight="1" thickTop="1" thickBot="1" x14ac:dyDescent="0.35">
      <c r="A58" s="6"/>
      <c r="C58" s="33"/>
      <c r="D58" s="40"/>
      <c r="E58" s="31"/>
      <c r="F58" s="31"/>
      <c r="G58" s="42"/>
      <c r="H58" s="40"/>
      <c r="I58" s="32"/>
      <c r="J58" s="32"/>
    </row>
    <row r="59" spans="1:10" s="23" customFormat="1" ht="28.5" customHeight="1" thickTop="1" thickBot="1" x14ac:dyDescent="0.35">
      <c r="A59" s="6"/>
      <c r="C59" s="33"/>
      <c r="D59" s="40"/>
      <c r="E59" s="31"/>
      <c r="F59" s="31"/>
      <c r="G59" s="42"/>
      <c r="H59" s="40"/>
      <c r="I59" s="32"/>
      <c r="J59" s="32"/>
    </row>
    <row r="60" spans="1:10" s="23" customFormat="1" ht="28.5" customHeight="1" thickTop="1" thickBot="1" x14ac:dyDescent="0.35">
      <c r="A60" s="6"/>
      <c r="C60" s="33"/>
      <c r="D60" s="40"/>
      <c r="E60" s="31"/>
      <c r="F60" s="31"/>
      <c r="G60" s="42"/>
      <c r="H60" s="40"/>
      <c r="I60" s="32"/>
      <c r="J60" s="32"/>
    </row>
    <row r="61" spans="1:10" s="23" customFormat="1" ht="28.5" customHeight="1" thickTop="1" thickBot="1" x14ac:dyDescent="0.35">
      <c r="A61" s="6"/>
      <c r="C61" s="33"/>
      <c r="D61" s="40"/>
      <c r="E61" s="31"/>
      <c r="F61" s="31"/>
      <c r="G61" s="42"/>
      <c r="H61" s="40"/>
      <c r="I61" s="32"/>
      <c r="J61" s="32"/>
    </row>
    <row r="62" spans="1:10" ht="28.5" customHeight="1" thickTop="1" thickBot="1" x14ac:dyDescent="0.35">
      <c r="B62" s="23"/>
      <c r="C62" s="33"/>
      <c r="D62" s="40"/>
      <c r="E62" s="31"/>
      <c r="F62" s="31"/>
      <c r="G62" s="42"/>
      <c r="H62" s="40"/>
      <c r="I62" s="32"/>
      <c r="J62" s="32"/>
    </row>
    <row r="63" spans="1:10" ht="28.5" customHeight="1" thickTop="1" thickBot="1" x14ac:dyDescent="0.35">
      <c r="C63" s="33"/>
      <c r="D63" s="40"/>
      <c r="E63" s="31"/>
      <c r="F63" s="31"/>
      <c r="G63" s="42"/>
      <c r="H63" s="40"/>
      <c r="I63" s="32"/>
      <c r="J63" s="32"/>
    </row>
    <row r="64" spans="1:10" ht="28.5" customHeight="1" thickTop="1" thickBot="1" x14ac:dyDescent="0.35">
      <c r="C64" s="33"/>
      <c r="D64" s="40"/>
      <c r="E64" s="31"/>
      <c r="F64" s="31"/>
      <c r="G64" s="42"/>
      <c r="H64" s="40"/>
      <c r="I64" s="32"/>
      <c r="J64" s="32"/>
    </row>
    <row r="65" spans="3:10" ht="28.5" customHeight="1" thickTop="1" thickBot="1" x14ac:dyDescent="0.35">
      <c r="C65" s="33"/>
      <c r="D65" s="40"/>
      <c r="E65" s="31"/>
      <c r="F65" s="31"/>
      <c r="G65" s="42"/>
      <c r="H65" s="40"/>
      <c r="I65" s="32"/>
      <c r="J65" s="32"/>
    </row>
    <row r="66" spans="3:10" ht="28.5" customHeight="1" thickTop="1" thickBot="1" x14ac:dyDescent="0.35">
      <c r="C66" s="33"/>
      <c r="D66" s="40"/>
      <c r="E66" s="31"/>
      <c r="F66" s="31"/>
      <c r="G66" s="42"/>
      <c r="H66" s="40"/>
      <c r="I66" s="32"/>
      <c r="J66" s="32"/>
    </row>
    <row r="67" spans="3:10" ht="28.5" customHeight="1" thickTop="1" thickBot="1" x14ac:dyDescent="0.35">
      <c r="C67" s="33"/>
      <c r="D67" s="40"/>
      <c r="E67" s="31"/>
      <c r="F67" s="31"/>
      <c r="G67" s="42"/>
      <c r="H67" s="40"/>
      <c r="I67" s="32"/>
      <c r="J67" s="32"/>
    </row>
    <row r="68" spans="3:10" ht="28.5" customHeight="1" thickTop="1" thickBot="1" x14ac:dyDescent="0.35">
      <c r="C68" s="33"/>
      <c r="D68" s="40"/>
      <c r="E68" s="31"/>
      <c r="F68" s="31"/>
      <c r="G68" s="42"/>
      <c r="H68" s="40"/>
      <c r="I68" s="32"/>
      <c r="J68" s="32"/>
    </row>
    <row r="69" spans="3:10" ht="28.5" customHeight="1" thickTop="1" thickBot="1" x14ac:dyDescent="0.35">
      <c r="C69" s="33"/>
      <c r="D69" s="40"/>
      <c r="E69" s="31"/>
      <c r="F69" s="31"/>
      <c r="G69" s="42"/>
      <c r="H69" s="40"/>
      <c r="I69" s="32"/>
      <c r="J69" s="32"/>
    </row>
    <row r="70" spans="3:10" ht="28.5" customHeight="1" thickTop="1" thickBot="1" x14ac:dyDescent="0.35">
      <c r="C70" s="33"/>
      <c r="D70" s="40"/>
      <c r="E70" s="31"/>
      <c r="F70" s="31"/>
      <c r="G70" s="42"/>
      <c r="H70" s="40"/>
      <c r="I70" s="32"/>
      <c r="J70" s="32"/>
    </row>
    <row r="71" spans="3:10" ht="28.5" customHeight="1" thickTop="1" thickBot="1" x14ac:dyDescent="0.35">
      <c r="C71" s="33"/>
      <c r="D71" s="40"/>
      <c r="E71" s="31"/>
      <c r="F71" s="31"/>
      <c r="G71" s="42"/>
      <c r="H71" s="40"/>
      <c r="I71" s="32"/>
      <c r="J71" s="32"/>
    </row>
    <row r="72" spans="3:10" ht="28.5" customHeight="1" thickTop="1" thickBot="1" x14ac:dyDescent="0.35">
      <c r="C72" s="33"/>
      <c r="D72" s="40"/>
      <c r="E72" s="31"/>
      <c r="F72" s="31"/>
      <c r="G72" s="42"/>
      <c r="H72" s="40"/>
      <c r="I72" s="32"/>
      <c r="J72" s="32"/>
    </row>
    <row r="73" spans="3:10" ht="28.5" customHeight="1" thickTop="1" thickBot="1" x14ac:dyDescent="0.35">
      <c r="C73" s="33"/>
      <c r="D73" s="40"/>
      <c r="E73" s="31"/>
      <c r="F73" s="31"/>
      <c r="G73" s="42"/>
      <c r="H73" s="40"/>
      <c r="I73" s="32"/>
      <c r="J73" s="32"/>
    </row>
    <row r="74" spans="3:10" ht="28.5" customHeight="1" thickTop="1" thickBot="1" x14ac:dyDescent="0.35">
      <c r="C74" s="33"/>
      <c r="D74" s="40"/>
      <c r="E74" s="31"/>
      <c r="F74" s="31"/>
      <c r="G74" s="42"/>
      <c r="H74" s="40"/>
      <c r="I74" s="32"/>
      <c r="J74" s="32"/>
    </row>
    <row r="75" spans="3:10" ht="28.5" customHeight="1" thickTop="1" thickBot="1" x14ac:dyDescent="0.35">
      <c r="C75" s="33"/>
      <c r="D75" s="40"/>
      <c r="E75" s="31"/>
      <c r="F75" s="31"/>
      <c r="G75" s="42"/>
      <c r="H75" s="40"/>
      <c r="I75" s="32"/>
      <c r="J75" s="32"/>
    </row>
    <row r="76" spans="3:10" ht="28.5" customHeight="1" thickTop="1" thickBot="1" x14ac:dyDescent="0.35">
      <c r="C76" s="33"/>
      <c r="D76" s="40"/>
      <c r="E76" s="31"/>
      <c r="F76" s="31"/>
      <c r="G76" s="42"/>
      <c r="H76" s="40"/>
      <c r="I76" s="32"/>
      <c r="J76" s="32"/>
    </row>
    <row r="77" spans="3:10" ht="28.5" customHeight="1" thickTop="1" thickBot="1" x14ac:dyDescent="0.35">
      <c r="C77" s="33"/>
      <c r="D77" s="40"/>
      <c r="E77" s="31"/>
      <c r="F77" s="31"/>
      <c r="G77" s="42"/>
      <c r="H77" s="40"/>
      <c r="I77" s="32"/>
      <c r="J77" s="32"/>
    </row>
    <row r="78" spans="3:10" ht="28.5" customHeight="1" thickTop="1" thickBot="1" x14ac:dyDescent="0.35">
      <c r="C78" s="33"/>
      <c r="D78" s="40"/>
      <c r="E78" s="31"/>
      <c r="F78" s="31"/>
      <c r="G78" s="42"/>
      <c r="H78" s="40"/>
      <c r="I78" s="32"/>
      <c r="J78" s="32"/>
    </row>
    <row r="79" spans="3:10" ht="28.5" customHeight="1" thickTop="1" thickBot="1" x14ac:dyDescent="0.35">
      <c r="C79" s="33"/>
      <c r="D79" s="40"/>
      <c r="E79" s="31"/>
      <c r="F79" s="31"/>
      <c r="G79" s="42"/>
      <c r="H79" s="40"/>
      <c r="I79" s="32"/>
      <c r="J79" s="32"/>
    </row>
    <row r="80" spans="3:10" ht="28.5" customHeight="1" thickTop="1" thickBot="1" x14ac:dyDescent="0.35">
      <c r="C80" s="33"/>
      <c r="D80" s="40"/>
      <c r="E80" s="31"/>
      <c r="F80" s="31"/>
      <c r="G80" s="42"/>
      <c r="H80" s="40"/>
      <c r="I80" s="32"/>
      <c r="J80" s="32"/>
    </row>
    <row r="81" spans="3:10" ht="28.5" customHeight="1" thickTop="1" thickBot="1" x14ac:dyDescent="0.35">
      <c r="C81" s="33"/>
      <c r="D81" s="40"/>
      <c r="E81" s="31"/>
      <c r="F81" s="31"/>
      <c r="G81" s="42"/>
      <c r="H81" s="40"/>
      <c r="I81" s="32"/>
      <c r="J81" s="32"/>
    </row>
    <row r="82" spans="3:10" ht="28.5" customHeight="1" thickTop="1" thickBot="1" x14ac:dyDescent="0.35">
      <c r="C82" s="33"/>
      <c r="D82" s="40"/>
      <c r="E82" s="31"/>
      <c r="F82" s="31"/>
      <c r="G82" s="42"/>
      <c r="H82" s="40"/>
      <c r="I82" s="32"/>
      <c r="J82" s="32"/>
    </row>
    <row r="83" spans="3:10" ht="28.5" customHeight="1" thickTop="1" thickBot="1" x14ac:dyDescent="0.35">
      <c r="C83" s="33"/>
      <c r="D83" s="40"/>
      <c r="E83" s="31"/>
      <c r="F83" s="31"/>
      <c r="G83" s="42"/>
      <c r="H83" s="40"/>
      <c r="I83" s="32"/>
      <c r="J83" s="32"/>
    </row>
    <row r="84" spans="3:10" ht="28.5" customHeight="1" thickTop="1" thickBot="1" x14ac:dyDescent="0.35">
      <c r="C84" s="33"/>
      <c r="D84" s="40"/>
      <c r="E84" s="31"/>
      <c r="F84" s="31"/>
      <c r="G84" s="42"/>
      <c r="H84" s="40"/>
      <c r="I84" s="32"/>
      <c r="J84" s="32"/>
    </row>
    <row r="85" spans="3:10" ht="28.5" customHeight="1" thickTop="1" thickBot="1" x14ac:dyDescent="0.35">
      <c r="C85" s="33"/>
      <c r="D85" s="40"/>
      <c r="E85" s="31"/>
      <c r="F85" s="31"/>
      <c r="G85" s="42"/>
      <c r="H85" s="40"/>
      <c r="I85" s="32"/>
      <c r="J85" s="32"/>
    </row>
    <row r="86" spans="3:10" ht="28.5" customHeight="1" thickTop="1" thickBot="1" x14ac:dyDescent="0.35">
      <c r="C86" s="33"/>
      <c r="D86" s="40"/>
      <c r="E86" s="31"/>
      <c r="F86" s="31"/>
      <c r="G86" s="42"/>
      <c r="H86" s="40"/>
      <c r="I86" s="32"/>
      <c r="J86" s="32"/>
    </row>
    <row r="87" spans="3:10" ht="28.5" customHeight="1" thickTop="1" thickBot="1" x14ac:dyDescent="0.35">
      <c r="C87" s="33"/>
      <c r="D87" s="40"/>
      <c r="E87" s="31"/>
      <c r="F87" s="31"/>
      <c r="G87" s="42"/>
      <c r="H87" s="40"/>
      <c r="I87" s="32"/>
      <c r="J87" s="32"/>
    </row>
    <row r="88" spans="3:10" ht="28.5" customHeight="1" thickTop="1" thickBot="1" x14ac:dyDescent="0.35">
      <c r="C88" s="33"/>
      <c r="D88" s="40"/>
      <c r="E88" s="31"/>
      <c r="F88" s="31"/>
      <c r="G88" s="42"/>
      <c r="H88" s="40"/>
      <c r="I88" s="32"/>
      <c r="J88" s="32"/>
    </row>
    <row r="89" spans="3:10" ht="28.5" customHeight="1" thickTop="1" thickBot="1" x14ac:dyDescent="0.35">
      <c r="C89" s="33"/>
      <c r="D89" s="40"/>
      <c r="E89" s="31"/>
      <c r="F89" s="31"/>
      <c r="G89" s="42"/>
      <c r="H89" s="40"/>
      <c r="I89" s="32"/>
      <c r="J89" s="32"/>
    </row>
    <row r="90" spans="3:10" ht="28.5" customHeight="1" thickTop="1" thickBot="1" x14ac:dyDescent="0.35">
      <c r="C90" s="33"/>
      <c r="D90" s="40"/>
      <c r="E90" s="31"/>
      <c r="F90" s="31"/>
      <c r="G90" s="42"/>
      <c r="H90" s="40"/>
      <c r="I90" s="32"/>
      <c r="J90" s="32"/>
    </row>
    <row r="91" spans="3:10" ht="28.5" customHeight="1" thickTop="1" thickBot="1" x14ac:dyDescent="0.35">
      <c r="C91" s="33"/>
      <c r="D91" s="40"/>
      <c r="E91" s="31"/>
      <c r="F91" s="31"/>
      <c r="G91" s="42"/>
      <c r="H91" s="40"/>
      <c r="I91" s="32"/>
      <c r="J91" s="32"/>
    </row>
    <row r="92" spans="3:10" ht="28.5" customHeight="1" thickTop="1" thickBot="1" x14ac:dyDescent="0.35">
      <c r="C92" s="33"/>
      <c r="D92" s="40"/>
      <c r="E92" s="31"/>
      <c r="F92" s="31"/>
      <c r="G92" s="42"/>
      <c r="H92" s="40"/>
      <c r="I92" s="32"/>
      <c r="J92" s="32"/>
    </row>
    <row r="93" spans="3:10" ht="28.5" customHeight="1" thickTop="1" thickBot="1" x14ac:dyDescent="0.35">
      <c r="C93" s="33"/>
      <c r="D93" s="40"/>
      <c r="E93" s="31"/>
      <c r="F93" s="31"/>
      <c r="G93" s="42"/>
      <c r="H93" s="40"/>
      <c r="I93" s="32"/>
      <c r="J93" s="32"/>
    </row>
    <row r="94" spans="3:10" ht="28.5" customHeight="1" thickTop="1" thickBot="1" x14ac:dyDescent="0.35">
      <c r="C94" s="33"/>
      <c r="D94" s="40"/>
      <c r="E94" s="31"/>
      <c r="F94" s="31"/>
      <c r="G94" s="42"/>
      <c r="H94" s="40"/>
      <c r="I94" s="32"/>
      <c r="J94" s="32"/>
    </row>
    <row r="95" spans="3:10" ht="28.5" customHeight="1" thickTop="1" thickBot="1" x14ac:dyDescent="0.35">
      <c r="C95" s="33"/>
      <c r="D95" s="40"/>
      <c r="E95" s="31"/>
      <c r="F95" s="31"/>
      <c r="G95" s="42"/>
      <c r="H95" s="40"/>
      <c r="I95" s="32"/>
      <c r="J95" s="32"/>
    </row>
    <row r="96" spans="3:10" ht="28.5" customHeight="1" thickTop="1" thickBot="1" x14ac:dyDescent="0.35">
      <c r="C96" s="33"/>
      <c r="D96" s="40"/>
      <c r="E96" s="31"/>
      <c r="F96" s="31"/>
      <c r="G96" s="42"/>
      <c r="H96" s="40"/>
      <c r="I96" s="32"/>
      <c r="J96" s="32"/>
    </row>
    <row r="97" spans="3:10" ht="28.5" customHeight="1" thickTop="1" thickBot="1" x14ac:dyDescent="0.35">
      <c r="C97" s="33"/>
      <c r="D97" s="40"/>
      <c r="E97" s="31"/>
      <c r="F97" s="31"/>
      <c r="G97" s="42"/>
      <c r="H97" s="40"/>
      <c r="I97" s="32"/>
      <c r="J97" s="32"/>
    </row>
    <row r="98" spans="3:10" ht="28.5" customHeight="1" thickTop="1" thickBot="1" x14ac:dyDescent="0.35">
      <c r="C98" s="33"/>
      <c r="D98" s="40"/>
      <c r="E98" s="31"/>
      <c r="F98" s="31"/>
      <c r="G98" s="42"/>
      <c r="H98" s="40"/>
      <c r="I98" s="32"/>
      <c r="J98" s="32"/>
    </row>
    <row r="99" spans="3:10" ht="28.5" customHeight="1" thickTop="1" thickBot="1" x14ac:dyDescent="0.35">
      <c r="C99" s="33"/>
      <c r="D99" s="40"/>
      <c r="E99" s="31"/>
      <c r="F99" s="31"/>
      <c r="G99" s="42"/>
      <c r="H99" s="40"/>
      <c r="I99" s="32"/>
      <c r="J99" s="32"/>
    </row>
    <row r="100" spans="3:10" ht="28.5" customHeight="1" thickTop="1" thickBot="1" x14ac:dyDescent="0.35">
      <c r="C100" s="33"/>
      <c r="D100" s="40"/>
      <c r="E100" s="31"/>
      <c r="F100" s="31"/>
      <c r="G100" s="42"/>
      <c r="H100" s="40"/>
      <c r="I100" s="32"/>
      <c r="J100" s="32"/>
    </row>
    <row r="101" spans="3:10" ht="28.5" customHeight="1" thickTop="1" thickBot="1" x14ac:dyDescent="0.35">
      <c r="C101" s="33"/>
      <c r="D101" s="40"/>
      <c r="E101" s="31"/>
      <c r="F101" s="31"/>
      <c r="G101" s="42"/>
      <c r="H101" s="40"/>
      <c r="I101" s="32"/>
      <c r="J101" s="32"/>
    </row>
    <row r="102" spans="3:10" ht="28.5" customHeight="1" thickTop="1" thickBot="1" x14ac:dyDescent="0.35">
      <c r="C102" s="33"/>
      <c r="D102" s="40"/>
      <c r="E102" s="31"/>
      <c r="F102" s="31"/>
      <c r="G102" s="42"/>
      <c r="H102" s="40"/>
      <c r="I102" s="32"/>
      <c r="J102" s="32"/>
    </row>
    <row r="103" spans="3:10" ht="28.5" customHeight="1" thickTop="1" thickBot="1" x14ac:dyDescent="0.35">
      <c r="C103" s="33"/>
      <c r="D103" s="40"/>
      <c r="E103" s="31"/>
      <c r="F103" s="31"/>
      <c r="G103" s="42"/>
      <c r="H103" s="40"/>
      <c r="I103" s="32"/>
      <c r="J103" s="32"/>
    </row>
    <row r="104" spans="3:10" ht="28.5" customHeight="1" thickTop="1" thickBot="1" x14ac:dyDescent="0.35">
      <c r="C104" s="33"/>
      <c r="D104" s="40"/>
      <c r="E104" s="31"/>
      <c r="F104" s="31"/>
      <c r="G104" s="42"/>
      <c r="H104" s="40"/>
      <c r="I104" s="32"/>
      <c r="J104" s="32"/>
    </row>
    <row r="105" spans="3:10" ht="28.5" customHeight="1" thickTop="1" thickBot="1" x14ac:dyDescent="0.35">
      <c r="C105" s="33"/>
      <c r="D105" s="40"/>
      <c r="E105" s="31"/>
      <c r="F105" s="31"/>
      <c r="G105" s="42"/>
      <c r="H105" s="40"/>
      <c r="I105" s="32"/>
      <c r="J105" s="32"/>
    </row>
    <row r="106" spans="3:10" ht="28.5" customHeight="1" thickTop="1" thickBot="1" x14ac:dyDescent="0.35">
      <c r="C106" s="33"/>
      <c r="D106" s="40"/>
      <c r="E106" s="31"/>
      <c r="F106" s="31"/>
      <c r="G106" s="42"/>
      <c r="H106" s="40"/>
      <c r="I106" s="32"/>
      <c r="J106" s="32"/>
    </row>
    <row r="107" spans="3:10" ht="28.5" customHeight="1" thickTop="1" thickBot="1" x14ac:dyDescent="0.35">
      <c r="C107" s="33"/>
      <c r="D107" s="40"/>
      <c r="E107" s="31"/>
      <c r="F107" s="31"/>
      <c r="G107" s="42"/>
      <c r="H107" s="40"/>
      <c r="I107" s="32"/>
      <c r="J107" s="32"/>
    </row>
    <row r="108" spans="3:10" ht="28.5" customHeight="1" thickTop="1" thickBot="1" x14ac:dyDescent="0.35">
      <c r="C108" s="33"/>
      <c r="D108" s="40"/>
      <c r="E108" s="31"/>
      <c r="F108" s="31"/>
      <c r="G108" s="42"/>
      <c r="H108" s="40"/>
      <c r="I108" s="32"/>
      <c r="J108" s="32"/>
    </row>
    <row r="109" spans="3:10" ht="28.5" customHeight="1" thickTop="1" thickBot="1" x14ac:dyDescent="0.35">
      <c r="C109" s="33"/>
      <c r="D109" s="40"/>
      <c r="E109" s="31"/>
      <c r="F109" s="31"/>
      <c r="G109" s="42"/>
      <c r="H109" s="40"/>
      <c r="I109" s="32"/>
      <c r="J109" s="32"/>
    </row>
    <row r="110" spans="3:10" ht="28.5" customHeight="1" thickTop="1" thickBot="1" x14ac:dyDescent="0.35">
      <c r="C110" s="33"/>
      <c r="D110" s="40"/>
      <c r="E110" s="31"/>
      <c r="F110" s="31"/>
      <c r="G110" s="42"/>
      <c r="H110" s="40"/>
      <c r="I110" s="32"/>
      <c r="J110" s="32"/>
    </row>
    <row r="111" spans="3:10" ht="28.5" customHeight="1" thickTop="1" thickBot="1" x14ac:dyDescent="0.35">
      <c r="C111" s="33"/>
      <c r="D111" s="40"/>
      <c r="E111" s="31"/>
      <c r="F111" s="31"/>
      <c r="G111" s="42"/>
      <c r="H111" s="40"/>
      <c r="I111" s="32"/>
      <c r="J111" s="32"/>
    </row>
    <row r="112" spans="3:10" ht="28.5" customHeight="1" thickTop="1" thickBot="1" x14ac:dyDescent="0.35">
      <c r="C112" s="33"/>
      <c r="D112" s="40"/>
      <c r="E112" s="31"/>
      <c r="F112" s="31"/>
      <c r="G112" s="42"/>
      <c r="H112" s="40"/>
      <c r="I112" s="32"/>
      <c r="J112" s="32"/>
    </row>
    <row r="113" spans="3:10" ht="28.5" customHeight="1" thickTop="1" thickBot="1" x14ac:dyDescent="0.35">
      <c r="C113" s="33"/>
      <c r="D113" s="40"/>
      <c r="E113" s="31"/>
      <c r="F113" s="31"/>
      <c r="G113" s="42"/>
      <c r="H113" s="40"/>
      <c r="I113" s="32"/>
      <c r="J113" s="32"/>
    </row>
    <row r="114" spans="3:10" ht="28.5" customHeight="1" thickTop="1" thickBot="1" x14ac:dyDescent="0.35">
      <c r="C114" s="33"/>
      <c r="D114" s="40"/>
      <c r="E114" s="31"/>
      <c r="F114" s="31"/>
      <c r="G114" s="42"/>
      <c r="H114" s="40"/>
      <c r="I114" s="32"/>
      <c r="J114" s="32"/>
    </row>
    <row r="115" spans="3:10" ht="28.5" customHeight="1" thickTop="1" thickBot="1" x14ac:dyDescent="0.35">
      <c r="C115" s="33"/>
      <c r="D115" s="40"/>
      <c r="E115" s="31"/>
      <c r="F115" s="31"/>
      <c r="G115" s="42"/>
      <c r="H115" s="40"/>
      <c r="I115" s="32"/>
      <c r="J115" s="32"/>
    </row>
    <row r="116" spans="3:10" ht="28.5" customHeight="1" thickTop="1" thickBot="1" x14ac:dyDescent="0.35">
      <c r="C116" s="33"/>
      <c r="D116" s="40"/>
      <c r="E116" s="31"/>
      <c r="F116" s="31"/>
      <c r="G116" s="42"/>
      <c r="H116" s="40"/>
      <c r="I116" s="32"/>
      <c r="J116" s="32"/>
    </row>
    <row r="117" spans="3:10" ht="28.5" customHeight="1" thickTop="1" thickBot="1" x14ac:dyDescent="0.35">
      <c r="C117" s="33"/>
      <c r="D117" s="40"/>
      <c r="E117" s="31"/>
      <c r="F117" s="31"/>
      <c r="G117" s="42"/>
      <c r="H117" s="40"/>
      <c r="I117" s="32"/>
      <c r="J117" s="32"/>
    </row>
    <row r="118" spans="3:10" ht="28.5" customHeight="1" thickTop="1" thickBot="1" x14ac:dyDescent="0.35">
      <c r="C118" s="33"/>
      <c r="D118" s="40"/>
      <c r="E118" s="31"/>
      <c r="F118" s="31"/>
      <c r="G118" s="42"/>
      <c r="H118" s="40"/>
      <c r="I118" s="32"/>
      <c r="J118" s="32"/>
    </row>
    <row r="119" spans="3:10" ht="28.5" customHeight="1" thickTop="1" thickBot="1" x14ac:dyDescent="0.35">
      <c r="C119" s="33"/>
      <c r="D119" s="40"/>
      <c r="E119" s="31"/>
      <c r="F119" s="31"/>
      <c r="G119" s="42"/>
      <c r="H119" s="40"/>
      <c r="I119" s="32"/>
      <c r="J119" s="32"/>
    </row>
    <row r="120" spans="3:10" ht="28.5" customHeight="1" thickTop="1" thickBot="1" x14ac:dyDescent="0.35">
      <c r="C120" s="33"/>
      <c r="D120" s="40"/>
      <c r="E120" s="31"/>
      <c r="F120" s="31"/>
      <c r="G120" s="42"/>
      <c r="H120" s="40"/>
      <c r="I120" s="32"/>
      <c r="J120" s="32"/>
    </row>
    <row r="121" spans="3:10" ht="28.5" customHeight="1" thickTop="1" thickBot="1" x14ac:dyDescent="0.35">
      <c r="C121" s="33"/>
      <c r="D121" s="40"/>
      <c r="E121" s="31"/>
      <c r="F121" s="31"/>
      <c r="G121" s="42"/>
      <c r="H121" s="40"/>
      <c r="I121" s="32"/>
      <c r="J121" s="32"/>
    </row>
    <row r="122" spans="3:10" ht="28.5" customHeight="1" thickTop="1" thickBot="1" x14ac:dyDescent="0.35">
      <c r="C122" s="33"/>
      <c r="D122" s="40"/>
      <c r="E122" s="31"/>
      <c r="F122" s="31"/>
      <c r="G122" s="42"/>
      <c r="H122" s="40"/>
      <c r="I122" s="32"/>
      <c r="J122" s="32"/>
    </row>
    <row r="123" spans="3:10" ht="28.5" customHeight="1" thickTop="1" thickBot="1" x14ac:dyDescent="0.35">
      <c r="C123" s="33"/>
      <c r="D123" s="40"/>
      <c r="E123" s="31"/>
      <c r="F123" s="31"/>
      <c r="G123" s="42"/>
      <c r="H123" s="40"/>
      <c r="I123" s="32"/>
      <c r="J123" s="32"/>
    </row>
    <row r="124" spans="3:10" ht="28.5" customHeight="1" thickTop="1" thickBot="1" x14ac:dyDescent="0.35">
      <c r="C124" s="33"/>
      <c r="D124" s="40"/>
      <c r="E124" s="31"/>
      <c r="F124" s="31"/>
      <c r="G124" s="42"/>
      <c r="H124" s="40"/>
      <c r="I124" s="32"/>
      <c r="J124" s="32"/>
    </row>
    <row r="125" spans="3:10" ht="28.5" customHeight="1" thickTop="1" thickBot="1" x14ac:dyDescent="0.35">
      <c r="C125" s="33"/>
      <c r="D125" s="40"/>
      <c r="E125" s="31"/>
      <c r="F125" s="31"/>
      <c r="G125" s="42"/>
      <c r="H125" s="40"/>
      <c r="I125" s="32"/>
      <c r="J125" s="32"/>
    </row>
    <row r="126" spans="3:10" ht="28.5" customHeight="1" thickTop="1" thickBot="1" x14ac:dyDescent="0.35">
      <c r="C126" s="33"/>
      <c r="D126" s="40"/>
      <c r="E126" s="31"/>
      <c r="F126" s="31"/>
      <c r="G126" s="42"/>
      <c r="H126" s="40"/>
      <c r="I126" s="32"/>
      <c r="J126" s="32"/>
    </row>
    <row r="127" spans="3:10" ht="28.5" customHeight="1" thickTop="1" thickBot="1" x14ac:dyDescent="0.35">
      <c r="C127" s="33"/>
      <c r="D127" s="40"/>
      <c r="E127" s="31"/>
      <c r="F127" s="31"/>
      <c r="G127" s="42"/>
      <c r="H127" s="40"/>
      <c r="I127" s="32"/>
      <c r="J127" s="32"/>
    </row>
    <row r="128" spans="3:10" ht="28.5" customHeight="1" thickTop="1" thickBot="1" x14ac:dyDescent="0.35">
      <c r="C128" s="33"/>
      <c r="D128" s="40"/>
      <c r="E128" s="31"/>
      <c r="F128" s="31"/>
      <c r="G128" s="42"/>
      <c r="H128" s="40"/>
      <c r="I128" s="32"/>
      <c r="J128" s="32"/>
    </row>
    <row r="129" spans="3:10" ht="28.5" customHeight="1" thickTop="1" thickBot="1" x14ac:dyDescent="0.35">
      <c r="C129" s="33"/>
      <c r="D129" s="40"/>
      <c r="E129" s="31"/>
      <c r="F129" s="31"/>
      <c r="G129" s="42"/>
      <c r="H129" s="40"/>
      <c r="I129" s="32"/>
      <c r="J129" s="32"/>
    </row>
    <row r="130" spans="3:10" ht="28.5" customHeight="1" thickTop="1" thickBot="1" x14ac:dyDescent="0.35">
      <c r="C130" s="33"/>
      <c r="D130" s="40"/>
      <c r="E130" s="31"/>
      <c r="F130" s="31"/>
      <c r="G130" s="42"/>
      <c r="H130" s="40"/>
      <c r="I130" s="32"/>
      <c r="J130" s="32"/>
    </row>
    <row r="131" spans="3:10" ht="28.5" customHeight="1" thickTop="1" thickBot="1" x14ac:dyDescent="0.35">
      <c r="C131" s="33"/>
      <c r="D131" s="40"/>
      <c r="E131" s="31"/>
      <c r="F131" s="31"/>
      <c r="G131" s="42"/>
      <c r="H131" s="40"/>
      <c r="I131" s="32"/>
      <c r="J131" s="32"/>
    </row>
    <row r="132" spans="3:10" ht="28.5" customHeight="1" thickTop="1" thickBot="1" x14ac:dyDescent="0.35">
      <c r="C132" s="33"/>
      <c r="D132" s="40"/>
      <c r="E132" s="31"/>
      <c r="F132" s="31"/>
      <c r="G132" s="42"/>
      <c r="H132" s="40"/>
      <c r="I132" s="32"/>
      <c r="J132" s="32"/>
    </row>
    <row r="133" spans="3:10" ht="28.5" customHeight="1" thickTop="1" thickBot="1" x14ac:dyDescent="0.35">
      <c r="C133" s="33"/>
      <c r="D133" s="40"/>
      <c r="E133" s="31"/>
      <c r="F133" s="31"/>
      <c r="G133" s="42"/>
      <c r="H133" s="40"/>
      <c r="I133" s="32"/>
      <c r="J133" s="32"/>
    </row>
    <row r="134" spans="3:10" ht="28.5" customHeight="1" thickTop="1" thickBot="1" x14ac:dyDescent="0.35">
      <c r="C134" s="33"/>
      <c r="D134" s="40"/>
      <c r="E134" s="31"/>
      <c r="F134" s="31"/>
      <c r="G134" s="42"/>
      <c r="H134" s="40"/>
      <c r="I134" s="32"/>
      <c r="J134" s="32"/>
    </row>
    <row r="135" spans="3:10" ht="28.5" customHeight="1" thickTop="1" thickBot="1" x14ac:dyDescent="0.35">
      <c r="C135" s="33"/>
      <c r="D135" s="40"/>
      <c r="E135" s="31"/>
      <c r="F135" s="31"/>
      <c r="G135" s="42"/>
      <c r="H135" s="40"/>
      <c r="I135" s="32"/>
      <c r="J135" s="32"/>
    </row>
    <row r="136" spans="3:10" ht="28.5" customHeight="1" thickTop="1" thickBot="1" x14ac:dyDescent="0.35">
      <c r="C136" s="33"/>
      <c r="D136" s="40"/>
      <c r="E136" s="31"/>
      <c r="F136" s="31"/>
      <c r="G136" s="42"/>
      <c r="H136" s="40"/>
      <c r="I136" s="32"/>
      <c r="J136" s="32"/>
    </row>
    <row r="137" spans="3:10" ht="28.5" customHeight="1" thickTop="1" thickBot="1" x14ac:dyDescent="0.35">
      <c r="C137" s="33"/>
      <c r="D137" s="40"/>
      <c r="E137" s="31"/>
      <c r="F137" s="31"/>
      <c r="G137" s="42"/>
      <c r="H137" s="40"/>
      <c r="I137" s="32"/>
      <c r="J137" s="32"/>
    </row>
    <row r="138" spans="3:10" ht="28.5" customHeight="1" thickTop="1" thickBot="1" x14ac:dyDescent="0.35">
      <c r="C138" s="41"/>
      <c r="D138" s="40"/>
      <c r="E138" s="31"/>
      <c r="F138" s="31"/>
      <c r="G138" s="42"/>
      <c r="H138" s="40"/>
      <c r="I138" s="32"/>
      <c r="J138" s="32"/>
    </row>
    <row r="139" spans="3:10" ht="28.5" customHeight="1" thickTop="1" thickBot="1" x14ac:dyDescent="0.35">
      <c r="C139" s="41"/>
      <c r="D139" s="30"/>
      <c r="E139" s="31"/>
      <c r="F139" s="31"/>
      <c r="G139" s="42"/>
      <c r="H139" s="40"/>
      <c r="I139" s="32"/>
      <c r="J139" s="32"/>
    </row>
    <row r="140" spans="3:10" ht="28.5" customHeight="1" thickTop="1" thickBot="1" x14ac:dyDescent="0.35">
      <c r="C140" s="33"/>
      <c r="D140" s="30"/>
      <c r="E140" s="31"/>
      <c r="F140" s="31"/>
      <c r="G140" s="42"/>
      <c r="H140" s="40"/>
      <c r="I140" s="32"/>
      <c r="J140" s="32"/>
    </row>
    <row r="141" spans="3:10" ht="28.5" customHeight="1" thickTop="1" thickBot="1" x14ac:dyDescent="0.35">
      <c r="C141" s="41"/>
      <c r="D141" s="40"/>
      <c r="E141" s="31"/>
      <c r="F141" s="31"/>
      <c r="G141" s="42"/>
      <c r="H141" s="40"/>
      <c r="I141" s="32"/>
      <c r="J141" s="32"/>
    </row>
    <row r="142" spans="3:10" ht="28.5" customHeight="1" thickTop="1" thickBot="1" x14ac:dyDescent="0.35">
      <c r="C142" s="41"/>
      <c r="D142" s="40"/>
      <c r="E142" s="31"/>
      <c r="F142" s="31"/>
      <c r="G142" s="42"/>
      <c r="H142" s="40"/>
      <c r="I142" s="32"/>
      <c r="J142" s="32"/>
    </row>
    <row r="143" spans="3:10" ht="28.5" customHeight="1" thickTop="1" thickBot="1" x14ac:dyDescent="0.35">
      <c r="C143" s="41"/>
      <c r="D143" s="40"/>
      <c r="E143" s="31"/>
      <c r="F143" s="31"/>
      <c r="G143" s="42"/>
      <c r="H143" s="40"/>
      <c r="I143" s="32"/>
      <c r="J143" s="32"/>
    </row>
    <row r="144" spans="3:10" ht="28.5" customHeight="1" thickTop="1" thickBot="1" x14ac:dyDescent="0.35">
      <c r="C144" s="41"/>
      <c r="D144" s="40"/>
      <c r="E144" s="31"/>
      <c r="F144" s="31"/>
      <c r="G144" s="42"/>
      <c r="H144" s="40"/>
      <c r="I144" s="32"/>
      <c r="J144" s="32"/>
    </row>
    <row r="145" spans="3:10" ht="18" customHeight="1" thickTop="1" x14ac:dyDescent="0.25">
      <c r="C145" s="38"/>
      <c r="D145" s="30"/>
      <c r="E145" s="31"/>
      <c r="F145" s="31"/>
      <c r="G145" s="39"/>
      <c r="H145" s="30"/>
      <c r="I145" s="32"/>
      <c r="J145" s="34"/>
    </row>
    <row r="146" spans="3:10" ht="18" customHeight="1" x14ac:dyDescent="0.25">
      <c r="C146" s="78" t="s">
        <v>13</v>
      </c>
      <c r="D146" s="79"/>
      <c r="E146" s="80"/>
      <c r="F146" s="80"/>
      <c r="G146" s="75"/>
      <c r="H146" s="79"/>
      <c r="I146" s="75"/>
      <c r="J146" s="77"/>
    </row>
  </sheetData>
  <sheetProtection formatCells="0" formatColumns="0" formatRows="0" insertColumns="0" insertRows="0" insertHyperlinks="0" deleteColumns="0" deleteRows="0"/>
  <dataConsolidate/>
  <mergeCells count="1">
    <mergeCell ref="C1:I1"/>
  </mergeCells>
  <conditionalFormatting sqref="J46:J47 J87:J88 J90:J92 E72 E84:E85 F90 E91 E95 F98 E99:F99 F103 F109 F111 E23:F27 I112:J144 I109:J109 I104 I98:J100 I94:J96 I87:I92 I82:J85 I79:J80 I76:J77 I73:J74 I69:J71 I66:J67 I105:J107 G145:J145 E138:F145 I14:I27 G4:H10 E4:F9 C4:D10 C18:D27 G18:H27 H11:H17 C11:C17 J15:J17 J21:J28 J19 G30:H144 C30:D145 I30:I64 E30:F62 C28:C29 J30:J44">
    <cfRule type="expression" dxfId="454" priority="581">
      <formula>$H4="Échec"</formula>
    </cfRule>
  </conditionalFormatting>
  <conditionalFormatting sqref="C8">
    <cfRule type="expression" dxfId="453" priority="577">
      <formula>$H8="Échec"</formula>
    </cfRule>
  </conditionalFormatting>
  <conditionalFormatting sqref="C9">
    <cfRule type="expression" dxfId="452" priority="572">
      <formula>$H9="Échec"</formula>
    </cfRule>
  </conditionalFormatting>
  <conditionalFormatting sqref="J46:J48 E23:F27 I138:J144 I46:J47 I49:J62 I45 I48 G145:J145 E138:F145 G4:H10 I10:J13 E4:F9 C4:D10 C18:D27 G18:H27 H11:H17 C11:C17 I18 I19:J19 I21:J27 I20 J14:J18 I30:J44 J28 G30:H144 C30:D145 E30:F62 C28:C29">
    <cfRule type="expression" dxfId="451" priority="569">
      <formula>MOD(ROW(),2)</formula>
    </cfRule>
  </conditionalFormatting>
  <conditionalFormatting sqref="C10">
    <cfRule type="expression" dxfId="450" priority="567">
      <formula>$H10="Échec"</formula>
    </cfRule>
  </conditionalFormatting>
  <conditionalFormatting sqref="C10 C20 C30 C40 C50 C60 C70 C80 C90 C100 C110 C120 C130 C140">
    <cfRule type="expression" dxfId="449" priority="566">
      <formula>MOD(ROW(),2)</formula>
    </cfRule>
  </conditionalFormatting>
  <conditionalFormatting sqref="C11">
    <cfRule type="expression" dxfId="448" priority="564">
      <formula>$H11="Échec"</formula>
    </cfRule>
  </conditionalFormatting>
  <conditionalFormatting sqref="C11 C21 C31 C41 C51 C61 C71 C81 C91 C101 C111 C121 C131 C141">
    <cfRule type="expression" dxfId="447" priority="563">
      <formula>MOD(ROW(),2)</formula>
    </cfRule>
  </conditionalFormatting>
  <conditionalFormatting sqref="C12">
    <cfRule type="expression" dxfId="446" priority="561">
      <formula>$H12="Échec"</formula>
    </cfRule>
  </conditionalFormatting>
  <conditionalFormatting sqref="C12 C22 C32 C42 C62 C72 C82 C92 C102 C112 C122 C132 C142 C52:C55">
    <cfRule type="expression" dxfId="445" priority="560">
      <formula>MOD(ROW(),2)</formula>
    </cfRule>
  </conditionalFormatting>
  <conditionalFormatting sqref="I14:J17 C23 C33 C43 C53 C63 C73 C83 C93 C103 C113 C123 C133 C143 C13:C15">
    <cfRule type="expression" dxfId="444" priority="557">
      <formula>MOD(ROW(),2)</formula>
    </cfRule>
  </conditionalFormatting>
  <conditionalFormatting sqref="J49:J62">
    <cfRule type="expression" dxfId="443" priority="548">
      <formula>$H49="Échec"</formula>
    </cfRule>
  </conditionalFormatting>
  <conditionalFormatting sqref="J49:J62">
    <cfRule type="expression" dxfId="442" priority="547">
      <formula>MOD(ROW(),2)</formula>
    </cfRule>
  </conditionalFormatting>
  <conditionalFormatting sqref="K61:AI61">
    <cfRule type="expression" dxfId="441" priority="551">
      <formula>MOD(ROW(),2)</formula>
    </cfRule>
  </conditionalFormatting>
  <conditionalFormatting sqref="C11">
    <cfRule type="expression" dxfId="440" priority="550">
      <formula>$H11="Échec"</formula>
    </cfRule>
  </conditionalFormatting>
  <conditionalFormatting sqref="C11 C21 C31 C41 C51 C61 C71 C81 C91 C101 C111 C121 C131 C141">
    <cfRule type="expression" dxfId="439" priority="549">
      <formula>MOD(ROW(),2)</formula>
    </cfRule>
  </conditionalFormatting>
  <conditionalFormatting sqref="C12">
    <cfRule type="expression" dxfId="438" priority="544">
      <formula>$H12="Échec"</formula>
    </cfRule>
  </conditionalFormatting>
  <conditionalFormatting sqref="C12 C22 C32 C42 C62 C72 C82 C92 C102 C112 C122 C132 C142 C52:C55">
    <cfRule type="expression" dxfId="437" priority="543">
      <formula>MOD(ROW(),2)</formula>
    </cfRule>
  </conditionalFormatting>
  <conditionalFormatting sqref="C12">
    <cfRule type="expression" dxfId="436" priority="542">
      <formula>$H12="Échec"</formula>
    </cfRule>
  </conditionalFormatting>
  <conditionalFormatting sqref="C12 C22 C32 C42 C62 C72 C82 C92 C102 C112 C122 C132 C142 C52:C55">
    <cfRule type="expression" dxfId="435" priority="541">
      <formula>MOD(ROW(),2)</formula>
    </cfRule>
  </conditionalFormatting>
  <conditionalFormatting sqref="C23">
    <cfRule type="expression" dxfId="434" priority="540">
      <formula>$H23="Échec"</formula>
    </cfRule>
  </conditionalFormatting>
  <conditionalFormatting sqref="C23 C33 C43 C53 C63 C73 C83 C93 C103 C113 C123 C133 C143 C13:C15">
    <cfRule type="expression" dxfId="433" priority="539">
      <formula>MOD(ROW(),2)</formula>
    </cfRule>
  </conditionalFormatting>
  <conditionalFormatting sqref="C23">
    <cfRule type="expression" dxfId="432" priority="538">
      <formula>$H23="Échec"</formula>
    </cfRule>
  </conditionalFormatting>
  <conditionalFormatting sqref="C23 C33 C43 C53 C63 C73 C83 C93 C103 C113 C123 C133 C143 C13:C15">
    <cfRule type="expression" dxfId="431" priority="537">
      <formula>MOD(ROW(),2)</formula>
    </cfRule>
  </conditionalFormatting>
  <conditionalFormatting sqref="C23">
    <cfRule type="expression" dxfId="430" priority="536">
      <formula>$H23="Échec"</formula>
    </cfRule>
  </conditionalFormatting>
  <conditionalFormatting sqref="C23 C33 C43 C53 C63 C73 C83 C93 C103 C113 C123 C133 C143 C13:C15">
    <cfRule type="expression" dxfId="429" priority="535">
      <formula>MOD(ROW(),2)</formula>
    </cfRule>
  </conditionalFormatting>
  <conditionalFormatting sqref="J62">
    <cfRule type="expression" dxfId="428" priority="518">
      <formula>$H62="Échec"</formula>
    </cfRule>
  </conditionalFormatting>
  <conditionalFormatting sqref="J48">
    <cfRule type="expression" dxfId="427" priority="585">
      <formula>$H45="Échec"</formula>
    </cfRule>
  </conditionalFormatting>
  <conditionalFormatting sqref="J52">
    <cfRule type="expression" dxfId="426" priority="522">
      <formula>$H52="Échec"</formula>
    </cfRule>
  </conditionalFormatting>
  <conditionalFormatting sqref="J53">
    <cfRule type="expression" dxfId="425" priority="521">
      <formula>$H53="Échec"</formula>
    </cfRule>
  </conditionalFormatting>
  <conditionalFormatting sqref="J55">
    <cfRule type="expression" dxfId="424" priority="520">
      <formula>$H55="Échec"</formula>
    </cfRule>
  </conditionalFormatting>
  <conditionalFormatting sqref="J59">
    <cfRule type="expression" dxfId="423" priority="519">
      <formula>$H59="Échec"</formula>
    </cfRule>
  </conditionalFormatting>
  <conditionalFormatting sqref="J63:J64">
    <cfRule type="expression" dxfId="422" priority="504">
      <formula>$H63="Échec"</formula>
    </cfRule>
  </conditionalFormatting>
  <conditionalFormatting sqref="J63:J64 J66:J67 J69:J71 J76:J77 J73:J74 J79:J80 J82:J85 J87:J88 J90:J92 J94:J96 J98:J100">
    <cfRule type="expression" dxfId="421" priority="503">
      <formula>MOD(ROW(),2)</formula>
    </cfRule>
  </conditionalFormatting>
  <conditionalFormatting sqref="J63:J64">
    <cfRule type="expression" dxfId="420" priority="500">
      <formula>$H63="Échec"</formula>
    </cfRule>
  </conditionalFormatting>
  <conditionalFormatting sqref="E84:F84">
    <cfRule type="expression" dxfId="419" priority="508">
      <formula>$H84="Échec"</formula>
    </cfRule>
  </conditionalFormatting>
  <conditionalFormatting sqref="E84:F84 E72 E84:E85 F90 E91 E95 F98 E99:F99 F103 I98:J100 I94:J96 I90:J92 I89 I87:J88 I82:J85 I79:J80 I73:J74 I76:J77 I69:J71 I66:J67 I63:J64">
    <cfRule type="expression" dxfId="418" priority="507">
      <formula>MOD(ROW(),2)</formula>
    </cfRule>
  </conditionalFormatting>
  <conditionalFormatting sqref="J104">
    <cfRule type="expression" dxfId="417" priority="493">
      <formula>$H104="Échec"</formula>
    </cfRule>
  </conditionalFormatting>
  <conditionalFormatting sqref="J104 J109 J112:J137">
    <cfRule type="expression" dxfId="416" priority="492">
      <formula>MOD(ROW(),2)</formula>
    </cfRule>
  </conditionalFormatting>
  <conditionalFormatting sqref="J104">
    <cfRule type="expression" dxfId="415" priority="491">
      <formula>$H104="Échec"</formula>
    </cfRule>
  </conditionalFormatting>
  <conditionalFormatting sqref="E112:F137">
    <cfRule type="expression" dxfId="414" priority="497">
      <formula>$H112="Échec"</formula>
    </cfRule>
  </conditionalFormatting>
  <conditionalFormatting sqref="E112:F137 F109 I112:J137 I109:J109 I104:J104">
    <cfRule type="expression" dxfId="413" priority="496">
      <formula>MOD(ROW(),2)</formula>
    </cfRule>
  </conditionalFormatting>
  <conditionalFormatting sqref="E63">
    <cfRule type="expression" dxfId="412" priority="486">
      <formula>$H63="Échec"</formula>
    </cfRule>
  </conditionalFormatting>
  <conditionalFormatting sqref="E63">
    <cfRule type="expression" dxfId="411" priority="485">
      <formula>MOD(ROW(),2)</formula>
    </cfRule>
  </conditionalFormatting>
  <conditionalFormatting sqref="F63">
    <cfRule type="expression" dxfId="410" priority="484">
      <formula>$H63="Échec"</formula>
    </cfRule>
  </conditionalFormatting>
  <conditionalFormatting sqref="F63">
    <cfRule type="expression" dxfId="409" priority="483">
      <formula>MOD(ROW(),2)</formula>
    </cfRule>
  </conditionalFormatting>
  <conditionalFormatting sqref="E64">
    <cfRule type="expression" dxfId="408" priority="480">
      <formula>$H64="Échec"</formula>
    </cfRule>
  </conditionalFormatting>
  <conditionalFormatting sqref="E64">
    <cfRule type="expression" dxfId="407" priority="479">
      <formula>MOD(ROW(),2)</formula>
    </cfRule>
  </conditionalFormatting>
  <conditionalFormatting sqref="F64">
    <cfRule type="expression" dxfId="406" priority="478">
      <formula>$H64="Échec"</formula>
    </cfRule>
  </conditionalFormatting>
  <conditionalFormatting sqref="F64">
    <cfRule type="expression" dxfId="405" priority="477">
      <formula>MOD(ROW(),2)</formula>
    </cfRule>
  </conditionalFormatting>
  <conditionalFormatting sqref="E65">
    <cfRule type="expression" dxfId="404" priority="476">
      <formula>$H65="Échec"</formula>
    </cfRule>
  </conditionalFormatting>
  <conditionalFormatting sqref="E65">
    <cfRule type="expression" dxfId="403" priority="475">
      <formula>MOD(ROW(),2)</formula>
    </cfRule>
  </conditionalFormatting>
  <conditionalFormatting sqref="F65">
    <cfRule type="expression" dxfId="402" priority="474">
      <formula>$H65="Échec"</formula>
    </cfRule>
  </conditionalFormatting>
  <conditionalFormatting sqref="F65">
    <cfRule type="expression" dxfId="401" priority="473">
      <formula>MOD(ROW(),2)</formula>
    </cfRule>
  </conditionalFormatting>
  <conditionalFormatting sqref="I65">
    <cfRule type="expression" dxfId="400" priority="472">
      <formula>$H65="Échec"</formula>
    </cfRule>
  </conditionalFormatting>
  <conditionalFormatting sqref="I65:J65">
    <cfRule type="expression" dxfId="399" priority="471">
      <formula>MOD(ROW(),2)</formula>
    </cfRule>
  </conditionalFormatting>
  <conditionalFormatting sqref="J65">
    <cfRule type="expression" dxfId="398" priority="470">
      <formula>$H65="Échec"</formula>
    </cfRule>
  </conditionalFormatting>
  <conditionalFormatting sqref="J65">
    <cfRule type="expression" dxfId="397" priority="469">
      <formula>MOD(ROW(),2)</formula>
    </cfRule>
  </conditionalFormatting>
  <conditionalFormatting sqref="J65">
    <cfRule type="expression" dxfId="396" priority="468">
      <formula>$H65="Échec"</formula>
    </cfRule>
  </conditionalFormatting>
  <conditionalFormatting sqref="E66">
    <cfRule type="expression" dxfId="395" priority="467">
      <formula>$H66="Échec"</formula>
    </cfRule>
  </conditionalFormatting>
  <conditionalFormatting sqref="E66">
    <cfRule type="expression" dxfId="394" priority="466">
      <formula>MOD(ROW(),2)</formula>
    </cfRule>
  </conditionalFormatting>
  <conditionalFormatting sqref="F66">
    <cfRule type="expression" dxfId="393" priority="465">
      <formula>$H66="Échec"</formula>
    </cfRule>
  </conditionalFormatting>
  <conditionalFormatting sqref="F66">
    <cfRule type="expression" dxfId="392" priority="464">
      <formula>MOD(ROW(),2)</formula>
    </cfRule>
  </conditionalFormatting>
  <conditionalFormatting sqref="E67">
    <cfRule type="expression" dxfId="391" priority="463">
      <formula>$H67="Échec"</formula>
    </cfRule>
  </conditionalFormatting>
  <conditionalFormatting sqref="E67">
    <cfRule type="expression" dxfId="390" priority="462">
      <formula>MOD(ROW(),2)</formula>
    </cfRule>
  </conditionalFormatting>
  <conditionalFormatting sqref="F67">
    <cfRule type="expression" dxfId="389" priority="455">
      <formula>$H67="Échec"</formula>
    </cfRule>
  </conditionalFormatting>
  <conditionalFormatting sqref="F67">
    <cfRule type="expression" dxfId="388" priority="454">
      <formula>MOD(ROW(),2)</formula>
    </cfRule>
  </conditionalFormatting>
  <conditionalFormatting sqref="E68">
    <cfRule type="expression" dxfId="387" priority="453">
      <formula>$H68="Échec"</formula>
    </cfRule>
  </conditionalFormatting>
  <conditionalFormatting sqref="E68">
    <cfRule type="expression" dxfId="386" priority="452">
      <formula>MOD(ROW(),2)</formula>
    </cfRule>
  </conditionalFormatting>
  <conditionalFormatting sqref="F68">
    <cfRule type="expression" dxfId="385" priority="451">
      <formula>$H68="Échec"</formula>
    </cfRule>
  </conditionalFormatting>
  <conditionalFormatting sqref="F68">
    <cfRule type="expression" dxfId="384" priority="450">
      <formula>MOD(ROW(),2)</formula>
    </cfRule>
  </conditionalFormatting>
  <conditionalFormatting sqref="I68">
    <cfRule type="expression" dxfId="383" priority="449">
      <formula>$H68="Échec"</formula>
    </cfRule>
  </conditionalFormatting>
  <conditionalFormatting sqref="I68:J68">
    <cfRule type="expression" dxfId="382" priority="448">
      <formula>MOD(ROW(),2)</formula>
    </cfRule>
  </conditionalFormatting>
  <conditionalFormatting sqref="J68">
    <cfRule type="expression" dxfId="381" priority="447">
      <formula>$H68="Échec"</formula>
    </cfRule>
  </conditionalFormatting>
  <conditionalFormatting sqref="J68">
    <cfRule type="expression" dxfId="380" priority="446">
      <formula>MOD(ROW(),2)</formula>
    </cfRule>
  </conditionalFormatting>
  <conditionalFormatting sqref="J68">
    <cfRule type="expression" dxfId="379" priority="445">
      <formula>$H68="Échec"</formula>
    </cfRule>
  </conditionalFormatting>
  <conditionalFormatting sqref="E69">
    <cfRule type="expression" dxfId="378" priority="444">
      <formula>$H69="Échec"</formula>
    </cfRule>
  </conditionalFormatting>
  <conditionalFormatting sqref="E69">
    <cfRule type="expression" dxfId="377" priority="443">
      <formula>MOD(ROW(),2)</formula>
    </cfRule>
  </conditionalFormatting>
  <conditionalFormatting sqref="F69">
    <cfRule type="expression" dxfId="376" priority="442">
      <formula>$H69="Échec"</formula>
    </cfRule>
  </conditionalFormatting>
  <conditionalFormatting sqref="F69">
    <cfRule type="expression" dxfId="375" priority="441">
      <formula>MOD(ROW(),2)</formula>
    </cfRule>
  </conditionalFormatting>
  <conditionalFormatting sqref="E70">
    <cfRule type="expression" dxfId="374" priority="440">
      <formula>$H70="Échec"</formula>
    </cfRule>
  </conditionalFormatting>
  <conditionalFormatting sqref="E70">
    <cfRule type="expression" dxfId="373" priority="439">
      <formula>MOD(ROW(),2)</formula>
    </cfRule>
  </conditionalFormatting>
  <conditionalFormatting sqref="F71">
    <cfRule type="expression" dxfId="372" priority="436">
      <formula>$H71="Échec"</formula>
    </cfRule>
  </conditionalFormatting>
  <conditionalFormatting sqref="F71">
    <cfRule type="expression" dxfId="371" priority="435">
      <formula>MOD(ROW(),2)</formula>
    </cfRule>
  </conditionalFormatting>
  <conditionalFormatting sqref="F70">
    <cfRule type="expression" dxfId="370" priority="434">
      <formula>$H70="Échec"</formula>
    </cfRule>
  </conditionalFormatting>
  <conditionalFormatting sqref="F70">
    <cfRule type="expression" dxfId="369" priority="433">
      <formula>MOD(ROW(),2)</formula>
    </cfRule>
  </conditionalFormatting>
  <conditionalFormatting sqref="E71">
    <cfRule type="expression" dxfId="368" priority="432">
      <formula>$H71="Échec"</formula>
    </cfRule>
  </conditionalFormatting>
  <conditionalFormatting sqref="E71">
    <cfRule type="expression" dxfId="367" priority="431">
      <formula>MOD(ROW(),2)</formula>
    </cfRule>
  </conditionalFormatting>
  <conditionalFormatting sqref="F72">
    <cfRule type="expression" dxfId="366" priority="430">
      <formula>$H72="Échec"</formula>
    </cfRule>
  </conditionalFormatting>
  <conditionalFormatting sqref="F72">
    <cfRule type="expression" dxfId="365" priority="429">
      <formula>MOD(ROW(),2)</formula>
    </cfRule>
  </conditionalFormatting>
  <conditionalFormatting sqref="F85">
    <cfRule type="expression" dxfId="364" priority="428">
      <formula>$H85="Échec"</formula>
    </cfRule>
  </conditionalFormatting>
  <conditionalFormatting sqref="F85">
    <cfRule type="expression" dxfId="363" priority="427">
      <formula>MOD(ROW(),2)</formula>
    </cfRule>
  </conditionalFormatting>
  <conditionalFormatting sqref="I72">
    <cfRule type="expression" dxfId="362" priority="424">
      <formula>$H72="Échec"</formula>
    </cfRule>
  </conditionalFormatting>
  <conditionalFormatting sqref="I72:J72">
    <cfRule type="expression" dxfId="361" priority="423">
      <formula>MOD(ROW(),2)</formula>
    </cfRule>
  </conditionalFormatting>
  <conditionalFormatting sqref="J72">
    <cfRule type="expression" dxfId="360" priority="422">
      <formula>$H72="Échec"</formula>
    </cfRule>
  </conditionalFormatting>
  <conditionalFormatting sqref="J72">
    <cfRule type="expression" dxfId="359" priority="421">
      <formula>MOD(ROW(),2)</formula>
    </cfRule>
  </conditionalFormatting>
  <conditionalFormatting sqref="J72">
    <cfRule type="expression" dxfId="358" priority="420">
      <formula>$H72="Échec"</formula>
    </cfRule>
  </conditionalFormatting>
  <conditionalFormatting sqref="E73">
    <cfRule type="expression" dxfId="357" priority="419">
      <formula>$H73="Échec"</formula>
    </cfRule>
  </conditionalFormatting>
  <conditionalFormatting sqref="E73">
    <cfRule type="expression" dxfId="356" priority="418">
      <formula>MOD(ROW(),2)</formula>
    </cfRule>
  </conditionalFormatting>
  <conditionalFormatting sqref="F73">
    <cfRule type="expression" dxfId="355" priority="417">
      <formula>$H73="Échec"</formula>
    </cfRule>
  </conditionalFormatting>
  <conditionalFormatting sqref="F73">
    <cfRule type="expression" dxfId="354" priority="416">
      <formula>MOD(ROW(),2)</formula>
    </cfRule>
  </conditionalFormatting>
  <conditionalFormatting sqref="E74">
    <cfRule type="expression" dxfId="353" priority="411">
      <formula>$H74="Échec"</formula>
    </cfRule>
  </conditionalFormatting>
  <conditionalFormatting sqref="E74">
    <cfRule type="expression" dxfId="352" priority="410">
      <formula>MOD(ROW(),2)</formula>
    </cfRule>
  </conditionalFormatting>
  <conditionalFormatting sqref="F74">
    <cfRule type="expression" dxfId="351" priority="408">
      <formula>MOD(ROW(),2)</formula>
    </cfRule>
  </conditionalFormatting>
  <conditionalFormatting sqref="F74">
    <cfRule type="expression" dxfId="350" priority="409">
      <formula>$H74="Échec"</formula>
    </cfRule>
  </conditionalFormatting>
  <conditionalFormatting sqref="E77">
    <cfRule type="expression" dxfId="349" priority="390">
      <formula>$H77="Échec"</formula>
    </cfRule>
  </conditionalFormatting>
  <conditionalFormatting sqref="E77">
    <cfRule type="expression" dxfId="348" priority="389">
      <formula>MOD(ROW(),2)</formula>
    </cfRule>
  </conditionalFormatting>
  <conditionalFormatting sqref="F77">
    <cfRule type="expression" dxfId="347" priority="388">
      <formula>$H77="Échec"</formula>
    </cfRule>
  </conditionalFormatting>
  <conditionalFormatting sqref="F77">
    <cfRule type="expression" dxfId="346" priority="387">
      <formula>MOD(ROW(),2)</formula>
    </cfRule>
  </conditionalFormatting>
  <conditionalFormatting sqref="E75">
    <cfRule type="expression" dxfId="345" priority="407">
      <formula>$H75="Échec"</formula>
    </cfRule>
  </conditionalFormatting>
  <conditionalFormatting sqref="E75">
    <cfRule type="expression" dxfId="344" priority="406">
      <formula>MOD(ROW(),2)</formula>
    </cfRule>
  </conditionalFormatting>
  <conditionalFormatting sqref="F75">
    <cfRule type="expression" dxfId="343" priority="405">
      <formula>$H75="Échec"</formula>
    </cfRule>
  </conditionalFormatting>
  <conditionalFormatting sqref="F75">
    <cfRule type="expression" dxfId="342" priority="404">
      <formula>MOD(ROW(),2)</formula>
    </cfRule>
  </conditionalFormatting>
  <conditionalFormatting sqref="I75">
    <cfRule type="expression" dxfId="341" priority="399">
      <formula>$H75="Échec"</formula>
    </cfRule>
  </conditionalFormatting>
  <conditionalFormatting sqref="I75:J75">
    <cfRule type="expression" dxfId="340" priority="398">
      <formula>MOD(ROW(),2)</formula>
    </cfRule>
  </conditionalFormatting>
  <conditionalFormatting sqref="J75">
    <cfRule type="expression" dxfId="339" priority="397">
      <formula>$H75="Échec"</formula>
    </cfRule>
  </conditionalFormatting>
  <conditionalFormatting sqref="J75">
    <cfRule type="expression" dxfId="338" priority="396">
      <formula>MOD(ROW(),2)</formula>
    </cfRule>
  </conditionalFormatting>
  <conditionalFormatting sqref="J75">
    <cfRule type="expression" dxfId="337" priority="395">
      <formula>$H75="Échec"</formula>
    </cfRule>
  </conditionalFormatting>
  <conditionalFormatting sqref="E76">
    <cfRule type="expression" dxfId="336" priority="394">
      <formula>$H76="Échec"</formula>
    </cfRule>
  </conditionalFormatting>
  <conditionalFormatting sqref="E76">
    <cfRule type="expression" dxfId="335" priority="393">
      <formula>MOD(ROW(),2)</formula>
    </cfRule>
  </conditionalFormatting>
  <conditionalFormatting sqref="F76">
    <cfRule type="expression" dxfId="334" priority="392">
      <formula>$H76="Échec"</formula>
    </cfRule>
  </conditionalFormatting>
  <conditionalFormatting sqref="F76">
    <cfRule type="expression" dxfId="333" priority="391">
      <formula>MOD(ROW(),2)</formula>
    </cfRule>
  </conditionalFormatting>
  <conditionalFormatting sqref="F80">
    <cfRule type="expression" dxfId="332" priority="366">
      <formula>MOD(ROW(),2)</formula>
    </cfRule>
  </conditionalFormatting>
  <conditionalFormatting sqref="F80">
    <cfRule type="expression" dxfId="331" priority="367">
      <formula>$H80="Échec"</formula>
    </cfRule>
  </conditionalFormatting>
  <conditionalFormatting sqref="E78">
    <cfRule type="expression" dxfId="330" priority="386">
      <formula>$H78="Échec"</formula>
    </cfRule>
  </conditionalFormatting>
  <conditionalFormatting sqref="E78">
    <cfRule type="expression" dxfId="329" priority="385">
      <formula>MOD(ROW(),2)</formula>
    </cfRule>
  </conditionalFormatting>
  <conditionalFormatting sqref="F78">
    <cfRule type="expression" dxfId="328" priority="384">
      <formula>$H78="Échec"</formula>
    </cfRule>
  </conditionalFormatting>
  <conditionalFormatting sqref="F78">
    <cfRule type="expression" dxfId="327" priority="383">
      <formula>MOD(ROW(),2)</formula>
    </cfRule>
  </conditionalFormatting>
  <conditionalFormatting sqref="I78">
    <cfRule type="expression" dxfId="326" priority="378">
      <formula>$H78="Échec"</formula>
    </cfRule>
  </conditionalFormatting>
  <conditionalFormatting sqref="I78:J78">
    <cfRule type="expression" dxfId="325" priority="377">
      <formula>MOD(ROW(),2)</formula>
    </cfRule>
  </conditionalFormatting>
  <conditionalFormatting sqref="J78">
    <cfRule type="expression" dxfId="324" priority="376">
      <formula>$H78="Échec"</formula>
    </cfRule>
  </conditionalFormatting>
  <conditionalFormatting sqref="J78">
    <cfRule type="expression" dxfId="323" priority="375">
      <formula>MOD(ROW(),2)</formula>
    </cfRule>
  </conditionalFormatting>
  <conditionalFormatting sqref="J78">
    <cfRule type="expression" dxfId="322" priority="374">
      <formula>$H78="Échec"</formula>
    </cfRule>
  </conditionalFormatting>
  <conditionalFormatting sqref="E79">
    <cfRule type="expression" dxfId="321" priority="373">
      <formula>$H79="Échec"</formula>
    </cfRule>
  </conditionalFormatting>
  <conditionalFormatting sqref="E79">
    <cfRule type="expression" dxfId="320" priority="372">
      <formula>MOD(ROW(),2)</formula>
    </cfRule>
  </conditionalFormatting>
  <conditionalFormatting sqref="F79">
    <cfRule type="expression" dxfId="319" priority="371">
      <formula>$H79="Échec"</formula>
    </cfRule>
  </conditionalFormatting>
  <conditionalFormatting sqref="F79">
    <cfRule type="expression" dxfId="318" priority="370">
      <formula>MOD(ROW(),2)</formula>
    </cfRule>
  </conditionalFormatting>
  <conditionalFormatting sqref="E80">
    <cfRule type="expression" dxfId="317" priority="369">
      <formula>$H80="Échec"</formula>
    </cfRule>
  </conditionalFormatting>
  <conditionalFormatting sqref="E80">
    <cfRule type="expression" dxfId="316" priority="368">
      <formula>MOD(ROW(),2)</formula>
    </cfRule>
  </conditionalFormatting>
  <conditionalFormatting sqref="E81">
    <cfRule type="expression" dxfId="315" priority="365">
      <formula>$H81="Échec"</formula>
    </cfRule>
  </conditionalFormatting>
  <conditionalFormatting sqref="E81">
    <cfRule type="expression" dxfId="314" priority="364">
      <formula>MOD(ROW(),2)</formula>
    </cfRule>
  </conditionalFormatting>
  <conditionalFormatting sqref="F81">
    <cfRule type="expression" dxfId="313" priority="363">
      <formula>$H81="Échec"</formula>
    </cfRule>
  </conditionalFormatting>
  <conditionalFormatting sqref="F81">
    <cfRule type="expression" dxfId="312" priority="362">
      <formula>MOD(ROW(),2)</formula>
    </cfRule>
  </conditionalFormatting>
  <conditionalFormatting sqref="I81">
    <cfRule type="expression" dxfId="311" priority="357">
      <formula>$H81="Échec"</formula>
    </cfRule>
  </conditionalFormatting>
  <conditionalFormatting sqref="I81:J81">
    <cfRule type="expression" dxfId="310" priority="356">
      <formula>MOD(ROW(),2)</formula>
    </cfRule>
  </conditionalFormatting>
  <conditionalFormatting sqref="J81">
    <cfRule type="expression" dxfId="309" priority="355">
      <formula>$H81="Échec"</formula>
    </cfRule>
  </conditionalFormatting>
  <conditionalFormatting sqref="J81">
    <cfRule type="expression" dxfId="308" priority="354">
      <formula>MOD(ROW(),2)</formula>
    </cfRule>
  </conditionalFormatting>
  <conditionalFormatting sqref="J81">
    <cfRule type="expression" dxfId="307" priority="353">
      <formula>$H81="Échec"</formula>
    </cfRule>
  </conditionalFormatting>
  <conditionalFormatting sqref="E82">
    <cfRule type="expression" dxfId="306" priority="352">
      <formula>$H82="Échec"</formula>
    </cfRule>
  </conditionalFormatting>
  <conditionalFormatting sqref="E82">
    <cfRule type="expression" dxfId="305" priority="351">
      <formula>MOD(ROW(),2)</formula>
    </cfRule>
  </conditionalFormatting>
  <conditionalFormatting sqref="F82">
    <cfRule type="expression" dxfId="304" priority="350">
      <formula>$H82="Échec"</formula>
    </cfRule>
  </conditionalFormatting>
  <conditionalFormatting sqref="F82">
    <cfRule type="expression" dxfId="303" priority="349">
      <formula>MOD(ROW(),2)</formula>
    </cfRule>
  </conditionalFormatting>
  <conditionalFormatting sqref="E83">
    <cfRule type="expression" dxfId="302" priority="348">
      <formula>$H83="Échec"</formula>
    </cfRule>
  </conditionalFormatting>
  <conditionalFormatting sqref="E83">
    <cfRule type="expression" dxfId="301" priority="347">
      <formula>MOD(ROW(),2)</formula>
    </cfRule>
  </conditionalFormatting>
  <conditionalFormatting sqref="F83">
    <cfRule type="expression" dxfId="300" priority="345">
      <formula>MOD(ROW(),2)</formula>
    </cfRule>
  </conditionalFormatting>
  <conditionalFormatting sqref="F83">
    <cfRule type="expression" dxfId="299" priority="346">
      <formula>$H83="Échec"</formula>
    </cfRule>
  </conditionalFormatting>
  <conditionalFormatting sqref="E86">
    <cfRule type="expression" dxfId="298" priority="344">
      <formula>$H86="Échec"</formula>
    </cfRule>
  </conditionalFormatting>
  <conditionalFormatting sqref="E86">
    <cfRule type="expression" dxfId="297" priority="343">
      <formula>MOD(ROW(),2)</formula>
    </cfRule>
  </conditionalFormatting>
  <conditionalFormatting sqref="F86">
    <cfRule type="expression" dxfId="296" priority="342">
      <formula>$H86="Échec"</formula>
    </cfRule>
  </conditionalFormatting>
  <conditionalFormatting sqref="F86">
    <cfRule type="expression" dxfId="295" priority="341">
      <formula>MOD(ROW(),2)</formula>
    </cfRule>
  </conditionalFormatting>
  <conditionalFormatting sqref="I86">
    <cfRule type="expression" dxfId="294" priority="336">
      <formula>$H86="Échec"</formula>
    </cfRule>
  </conditionalFormatting>
  <conditionalFormatting sqref="I86:J86">
    <cfRule type="expression" dxfId="293" priority="335">
      <formula>MOD(ROW(),2)</formula>
    </cfRule>
  </conditionalFormatting>
  <conditionalFormatting sqref="J86">
    <cfRule type="expression" dxfId="292" priority="334">
      <formula>$H86="Échec"</formula>
    </cfRule>
  </conditionalFormatting>
  <conditionalFormatting sqref="J86">
    <cfRule type="expression" dxfId="291" priority="333">
      <formula>MOD(ROW(),2)</formula>
    </cfRule>
  </conditionalFormatting>
  <conditionalFormatting sqref="J86">
    <cfRule type="expression" dxfId="290" priority="332">
      <formula>$H86="Échec"</formula>
    </cfRule>
  </conditionalFormatting>
  <conditionalFormatting sqref="E87">
    <cfRule type="expression" dxfId="289" priority="331">
      <formula>$H87="Échec"</formula>
    </cfRule>
  </conditionalFormatting>
  <conditionalFormatting sqref="E87">
    <cfRule type="expression" dxfId="288" priority="330">
      <formula>MOD(ROW(),2)</formula>
    </cfRule>
  </conditionalFormatting>
  <conditionalFormatting sqref="F87">
    <cfRule type="expression" dxfId="287" priority="329">
      <formula>$H87="Échec"</formula>
    </cfRule>
  </conditionalFormatting>
  <conditionalFormatting sqref="F87">
    <cfRule type="expression" dxfId="286" priority="328">
      <formula>MOD(ROW(),2)</formula>
    </cfRule>
  </conditionalFormatting>
  <conditionalFormatting sqref="E88">
    <cfRule type="expression" dxfId="285" priority="327">
      <formula>$H88="Échec"</formula>
    </cfRule>
  </conditionalFormatting>
  <conditionalFormatting sqref="E88">
    <cfRule type="expression" dxfId="284" priority="326">
      <formula>MOD(ROW(),2)</formula>
    </cfRule>
  </conditionalFormatting>
  <conditionalFormatting sqref="F88">
    <cfRule type="expression" dxfId="283" priority="324">
      <formula>MOD(ROW(),2)</formula>
    </cfRule>
  </conditionalFormatting>
  <conditionalFormatting sqref="F88">
    <cfRule type="expression" dxfId="282" priority="325">
      <formula>$H88="Échec"</formula>
    </cfRule>
  </conditionalFormatting>
  <conditionalFormatting sqref="I20">
    <cfRule type="expression" dxfId="281" priority="321">
      <formula>$H20="Échec"</formula>
    </cfRule>
  </conditionalFormatting>
  <conditionalFormatting sqref="I22">
    <cfRule type="expression" dxfId="280" priority="320">
      <formula>$H22="Échec"</formula>
    </cfRule>
  </conditionalFormatting>
  <conditionalFormatting sqref="I24">
    <cfRule type="expression" dxfId="279" priority="319">
      <formula>$H24="Échec"</formula>
    </cfRule>
  </conditionalFormatting>
  <conditionalFormatting sqref="I25">
    <cfRule type="expression" dxfId="278" priority="318">
      <formula>$H25="Échec"</formula>
    </cfRule>
  </conditionalFormatting>
  <conditionalFormatting sqref="I27">
    <cfRule type="expression" dxfId="277" priority="317">
      <formula>$H27="Échec"</formula>
    </cfRule>
  </conditionalFormatting>
  <conditionalFormatting sqref="I30">
    <cfRule type="expression" dxfId="276" priority="315">
      <formula>$H30="Échec"</formula>
    </cfRule>
  </conditionalFormatting>
  <conditionalFormatting sqref="I32">
    <cfRule type="expression" dxfId="275" priority="314">
      <formula>$H32="Échec"</formula>
    </cfRule>
  </conditionalFormatting>
  <conditionalFormatting sqref="I33">
    <cfRule type="expression" dxfId="274" priority="313">
      <formula>$H33="Échec"</formula>
    </cfRule>
  </conditionalFormatting>
  <conditionalFormatting sqref="I46">
    <cfRule type="expression" dxfId="273" priority="312">
      <formula>$H46="Échec"</formula>
    </cfRule>
  </conditionalFormatting>
  <conditionalFormatting sqref="E89">
    <cfRule type="expression" dxfId="272" priority="311">
      <formula>$H89="Échec"</formula>
    </cfRule>
  </conditionalFormatting>
  <conditionalFormatting sqref="E89">
    <cfRule type="expression" dxfId="271" priority="310">
      <formula>MOD(ROW(),2)</formula>
    </cfRule>
  </conditionalFormatting>
  <conditionalFormatting sqref="F89">
    <cfRule type="expression" dxfId="270" priority="309">
      <formula>$H89="Échec"</formula>
    </cfRule>
  </conditionalFormatting>
  <conditionalFormatting sqref="F89">
    <cfRule type="expression" dxfId="269" priority="308">
      <formula>MOD(ROW(),2)</formula>
    </cfRule>
  </conditionalFormatting>
  <conditionalFormatting sqref="J89">
    <cfRule type="expression" dxfId="268" priority="307">
      <formula>MOD(ROW(),2)</formula>
    </cfRule>
  </conditionalFormatting>
  <conditionalFormatting sqref="J89">
    <cfRule type="expression" dxfId="267" priority="306">
      <formula>$H89="Échec"</formula>
    </cfRule>
  </conditionalFormatting>
  <conditionalFormatting sqref="J89">
    <cfRule type="expression" dxfId="266" priority="305">
      <formula>MOD(ROW(),2)</formula>
    </cfRule>
  </conditionalFormatting>
  <conditionalFormatting sqref="J89">
    <cfRule type="expression" dxfId="265" priority="304">
      <formula>$H89="Échec"</formula>
    </cfRule>
  </conditionalFormatting>
  <conditionalFormatting sqref="E90">
    <cfRule type="expression" dxfId="264" priority="303">
      <formula>$H90="Échec"</formula>
    </cfRule>
  </conditionalFormatting>
  <conditionalFormatting sqref="E90">
    <cfRule type="expression" dxfId="263" priority="302">
      <formula>MOD(ROW(),2)</formula>
    </cfRule>
  </conditionalFormatting>
  <conditionalFormatting sqref="F91">
    <cfRule type="expression" dxfId="262" priority="301">
      <formula>$H91="Échec"</formula>
    </cfRule>
  </conditionalFormatting>
  <conditionalFormatting sqref="F91">
    <cfRule type="expression" dxfId="261" priority="300">
      <formula>MOD(ROW(),2)</formula>
    </cfRule>
  </conditionalFormatting>
  <conditionalFormatting sqref="E92">
    <cfRule type="expression" dxfId="260" priority="299">
      <formula>$H92="Échec"</formula>
    </cfRule>
  </conditionalFormatting>
  <conditionalFormatting sqref="E92">
    <cfRule type="expression" dxfId="259" priority="298">
      <formula>MOD(ROW(),2)</formula>
    </cfRule>
  </conditionalFormatting>
  <conditionalFormatting sqref="F92">
    <cfRule type="expression" dxfId="258" priority="296">
      <formula>MOD(ROW(),2)</formula>
    </cfRule>
  </conditionalFormatting>
  <conditionalFormatting sqref="F92">
    <cfRule type="expression" dxfId="257" priority="297">
      <formula>$H92="Échec"</formula>
    </cfRule>
  </conditionalFormatting>
  <conditionalFormatting sqref="E93">
    <cfRule type="expression" dxfId="256" priority="295">
      <formula>$H93="Échec"</formula>
    </cfRule>
  </conditionalFormatting>
  <conditionalFormatting sqref="E93">
    <cfRule type="expression" dxfId="255" priority="294">
      <formula>MOD(ROW(),2)</formula>
    </cfRule>
  </conditionalFormatting>
  <conditionalFormatting sqref="F93">
    <cfRule type="expression" dxfId="254" priority="293">
      <formula>$H93="Échec"</formula>
    </cfRule>
  </conditionalFormatting>
  <conditionalFormatting sqref="F93">
    <cfRule type="expression" dxfId="253" priority="292">
      <formula>MOD(ROW(),2)</formula>
    </cfRule>
  </conditionalFormatting>
  <conditionalFormatting sqref="I93">
    <cfRule type="expression" dxfId="252" priority="291">
      <formula>$H93="Échec"</formula>
    </cfRule>
  </conditionalFormatting>
  <conditionalFormatting sqref="I93">
    <cfRule type="expression" dxfId="251" priority="290">
      <formula>MOD(ROW(),2)</formula>
    </cfRule>
  </conditionalFormatting>
  <conditionalFormatting sqref="J93">
    <cfRule type="expression" dxfId="250" priority="289">
      <formula>MOD(ROW(),2)</formula>
    </cfRule>
  </conditionalFormatting>
  <conditionalFormatting sqref="J93">
    <cfRule type="expression" dxfId="249" priority="288">
      <formula>$H93="Échec"</formula>
    </cfRule>
  </conditionalFormatting>
  <conditionalFormatting sqref="J93">
    <cfRule type="expression" dxfId="248" priority="287">
      <formula>MOD(ROW(),2)</formula>
    </cfRule>
  </conditionalFormatting>
  <conditionalFormatting sqref="J93">
    <cfRule type="expression" dxfId="247" priority="286">
      <formula>$H93="Échec"</formula>
    </cfRule>
  </conditionalFormatting>
  <conditionalFormatting sqref="E94">
    <cfRule type="expression" dxfId="246" priority="285">
      <formula>$H94="Échec"</formula>
    </cfRule>
  </conditionalFormatting>
  <conditionalFormatting sqref="E94">
    <cfRule type="expression" dxfId="245" priority="284">
      <formula>MOD(ROW(),2)</formula>
    </cfRule>
  </conditionalFormatting>
  <conditionalFormatting sqref="F94">
    <cfRule type="expression" dxfId="244" priority="281">
      <formula>$H94="Échec"</formula>
    </cfRule>
  </conditionalFormatting>
  <conditionalFormatting sqref="F94">
    <cfRule type="expression" dxfId="243" priority="280">
      <formula>MOD(ROW(),2)</formula>
    </cfRule>
  </conditionalFormatting>
  <conditionalFormatting sqref="F95">
    <cfRule type="expression" dxfId="242" priority="279">
      <formula>$H95="Échec"</formula>
    </cfRule>
  </conditionalFormatting>
  <conditionalFormatting sqref="F95">
    <cfRule type="expression" dxfId="241" priority="278">
      <formula>MOD(ROW(),2)</formula>
    </cfRule>
  </conditionalFormatting>
  <conditionalFormatting sqref="E96">
    <cfRule type="expression" dxfId="240" priority="277">
      <formula>$H96="Échec"</formula>
    </cfRule>
  </conditionalFormatting>
  <conditionalFormatting sqref="E96">
    <cfRule type="expression" dxfId="239" priority="276">
      <formula>MOD(ROW(),2)</formula>
    </cfRule>
  </conditionalFormatting>
  <conditionalFormatting sqref="F96">
    <cfRule type="expression" dxfId="238" priority="274">
      <formula>MOD(ROW(),2)</formula>
    </cfRule>
  </conditionalFormatting>
  <conditionalFormatting sqref="F96">
    <cfRule type="expression" dxfId="237" priority="275">
      <formula>$H96="Échec"</formula>
    </cfRule>
  </conditionalFormatting>
  <conditionalFormatting sqref="E97">
    <cfRule type="expression" dxfId="236" priority="273">
      <formula>$H97="Échec"</formula>
    </cfRule>
  </conditionalFormatting>
  <conditionalFormatting sqref="E97">
    <cfRule type="expression" dxfId="235" priority="272">
      <formula>MOD(ROW(),2)</formula>
    </cfRule>
  </conditionalFormatting>
  <conditionalFormatting sqref="F97">
    <cfRule type="expression" dxfId="234" priority="271">
      <formula>$H97="Échec"</formula>
    </cfRule>
  </conditionalFormatting>
  <conditionalFormatting sqref="F97">
    <cfRule type="expression" dxfId="233" priority="270">
      <formula>MOD(ROW(),2)</formula>
    </cfRule>
  </conditionalFormatting>
  <conditionalFormatting sqref="I97">
    <cfRule type="expression" dxfId="232" priority="269">
      <formula>$H97="Échec"</formula>
    </cfRule>
  </conditionalFormatting>
  <conditionalFormatting sqref="I97">
    <cfRule type="expression" dxfId="231" priority="268">
      <formula>MOD(ROW(),2)</formula>
    </cfRule>
  </conditionalFormatting>
  <conditionalFormatting sqref="J97">
    <cfRule type="expression" dxfId="230" priority="267">
      <formula>MOD(ROW(),2)</formula>
    </cfRule>
  </conditionalFormatting>
  <conditionalFormatting sqref="J97">
    <cfRule type="expression" dxfId="229" priority="266">
      <formula>$H97="Échec"</formula>
    </cfRule>
  </conditionalFormatting>
  <conditionalFormatting sqref="J97">
    <cfRule type="expression" dxfId="228" priority="265">
      <formula>MOD(ROW(),2)</formula>
    </cfRule>
  </conditionalFormatting>
  <conditionalFormatting sqref="J97">
    <cfRule type="expression" dxfId="227" priority="264">
      <formula>$H97="Échec"</formula>
    </cfRule>
  </conditionalFormatting>
  <conditionalFormatting sqref="E98">
    <cfRule type="expression" dxfId="226" priority="263">
      <formula>$H98="Échec"</formula>
    </cfRule>
  </conditionalFormatting>
  <conditionalFormatting sqref="E98">
    <cfRule type="expression" dxfId="225" priority="262">
      <formula>MOD(ROW(),2)</formula>
    </cfRule>
  </conditionalFormatting>
  <conditionalFormatting sqref="F100">
    <cfRule type="expression" dxfId="224" priority="260">
      <formula>MOD(ROW(),2)</formula>
    </cfRule>
  </conditionalFormatting>
  <conditionalFormatting sqref="F100">
    <cfRule type="expression" dxfId="223" priority="261">
      <formula>$H100="Échec"</formula>
    </cfRule>
  </conditionalFormatting>
  <conditionalFormatting sqref="E102">
    <cfRule type="expression" dxfId="222" priority="259">
      <formula>$H102="Échec"</formula>
    </cfRule>
  </conditionalFormatting>
  <conditionalFormatting sqref="E102">
    <cfRule type="expression" dxfId="221" priority="258">
      <formula>MOD(ROW(),2)</formula>
    </cfRule>
  </conditionalFormatting>
  <conditionalFormatting sqref="F102">
    <cfRule type="expression" dxfId="220" priority="257">
      <formula>$H102="Échec"</formula>
    </cfRule>
  </conditionalFormatting>
  <conditionalFormatting sqref="F102">
    <cfRule type="expression" dxfId="219" priority="256">
      <formula>MOD(ROW(),2)</formula>
    </cfRule>
  </conditionalFormatting>
  <conditionalFormatting sqref="I102">
    <cfRule type="expression" dxfId="218" priority="255">
      <formula>$H102="Échec"</formula>
    </cfRule>
  </conditionalFormatting>
  <conditionalFormatting sqref="I102">
    <cfRule type="expression" dxfId="217" priority="254">
      <formula>MOD(ROW(),2)</formula>
    </cfRule>
  </conditionalFormatting>
  <conditionalFormatting sqref="J102">
    <cfRule type="expression" dxfId="216" priority="253">
      <formula>MOD(ROW(),2)</formula>
    </cfRule>
  </conditionalFormatting>
  <conditionalFormatting sqref="J102">
    <cfRule type="expression" dxfId="215" priority="252">
      <formula>$H102="Échec"</formula>
    </cfRule>
  </conditionalFormatting>
  <conditionalFormatting sqref="J102">
    <cfRule type="expression" dxfId="214" priority="251">
      <formula>MOD(ROW(),2)</formula>
    </cfRule>
  </conditionalFormatting>
  <conditionalFormatting sqref="J102">
    <cfRule type="expression" dxfId="213" priority="250">
      <formula>$H102="Échec"</formula>
    </cfRule>
  </conditionalFormatting>
  <conditionalFormatting sqref="E103">
    <cfRule type="expression" dxfId="212" priority="249">
      <formula>$H103="Échec"</formula>
    </cfRule>
  </conditionalFormatting>
  <conditionalFormatting sqref="E103">
    <cfRule type="expression" dxfId="211" priority="248">
      <formula>MOD(ROW(),2)</formula>
    </cfRule>
  </conditionalFormatting>
  <conditionalFormatting sqref="E100">
    <cfRule type="expression" dxfId="210" priority="245">
      <formula>$H100="Échec"</formula>
    </cfRule>
  </conditionalFormatting>
  <conditionalFormatting sqref="E100">
    <cfRule type="expression" dxfId="209" priority="244">
      <formula>MOD(ROW(),2)</formula>
    </cfRule>
  </conditionalFormatting>
  <conditionalFormatting sqref="E104">
    <cfRule type="expression" dxfId="208" priority="243">
      <formula>$H104="Échec"</formula>
    </cfRule>
  </conditionalFormatting>
  <conditionalFormatting sqref="E104">
    <cfRule type="expression" dxfId="207" priority="242">
      <formula>MOD(ROW(),2)</formula>
    </cfRule>
  </conditionalFormatting>
  <conditionalFormatting sqref="F104">
    <cfRule type="expression" dxfId="206" priority="240">
      <formula>MOD(ROW(),2)</formula>
    </cfRule>
  </conditionalFormatting>
  <conditionalFormatting sqref="F104">
    <cfRule type="expression" dxfId="205" priority="241">
      <formula>$H104="Échec"</formula>
    </cfRule>
  </conditionalFormatting>
  <conditionalFormatting sqref="J103">
    <cfRule type="expression" dxfId="204" priority="238">
      <formula>$H103="Échec"</formula>
    </cfRule>
  </conditionalFormatting>
  <conditionalFormatting sqref="J103">
    <cfRule type="expression" dxfId="203" priority="237">
      <formula>MOD(ROW(),2)</formula>
    </cfRule>
  </conditionalFormatting>
  <conditionalFormatting sqref="J103">
    <cfRule type="expression" dxfId="202" priority="236">
      <formula>$H103="Échec"</formula>
    </cfRule>
  </conditionalFormatting>
  <conditionalFormatting sqref="J103">
    <cfRule type="expression" dxfId="201" priority="239">
      <formula>MOD(ROW(),2)</formula>
    </cfRule>
  </conditionalFormatting>
  <conditionalFormatting sqref="I103">
    <cfRule type="expression" dxfId="200" priority="235">
      <formula>$H103="Échec"</formula>
    </cfRule>
  </conditionalFormatting>
  <conditionalFormatting sqref="I103">
    <cfRule type="expression" dxfId="199" priority="234">
      <formula>MOD(ROW(),2)</formula>
    </cfRule>
  </conditionalFormatting>
  <conditionalFormatting sqref="E108">
    <cfRule type="expression" dxfId="198" priority="229">
      <formula>$H108="Échec"</formula>
    </cfRule>
  </conditionalFormatting>
  <conditionalFormatting sqref="E108">
    <cfRule type="expression" dxfId="197" priority="228">
      <formula>MOD(ROW(),2)</formula>
    </cfRule>
  </conditionalFormatting>
  <conditionalFormatting sqref="E101">
    <cfRule type="expression" dxfId="196" priority="227">
      <formula>$H101="Échec"</formula>
    </cfRule>
  </conditionalFormatting>
  <conditionalFormatting sqref="E101">
    <cfRule type="expression" dxfId="195" priority="226">
      <formula>MOD(ROW(),2)</formula>
    </cfRule>
  </conditionalFormatting>
  <conditionalFormatting sqref="F101">
    <cfRule type="expression" dxfId="194" priority="225">
      <formula>$H101="Échec"</formula>
    </cfRule>
  </conditionalFormatting>
  <conditionalFormatting sqref="F101">
    <cfRule type="expression" dxfId="193" priority="224">
      <formula>MOD(ROW(),2)</formula>
    </cfRule>
  </conditionalFormatting>
  <conditionalFormatting sqref="I101">
    <cfRule type="expression" dxfId="192" priority="223">
      <formula>$H101="Échec"</formula>
    </cfRule>
  </conditionalFormatting>
  <conditionalFormatting sqref="I101">
    <cfRule type="expression" dxfId="191" priority="222">
      <formula>MOD(ROW(),2)</formula>
    </cfRule>
  </conditionalFormatting>
  <conditionalFormatting sqref="J101">
    <cfRule type="expression" dxfId="190" priority="221">
      <formula>MOD(ROW(),2)</formula>
    </cfRule>
  </conditionalFormatting>
  <conditionalFormatting sqref="J101">
    <cfRule type="expression" dxfId="189" priority="220">
      <formula>$H101="Échec"</formula>
    </cfRule>
  </conditionalFormatting>
  <conditionalFormatting sqref="J101">
    <cfRule type="expression" dxfId="188" priority="219">
      <formula>MOD(ROW(),2)</formula>
    </cfRule>
  </conditionalFormatting>
  <conditionalFormatting sqref="J101">
    <cfRule type="expression" dxfId="187" priority="218">
      <formula>$H101="Échec"</formula>
    </cfRule>
  </conditionalFormatting>
  <conditionalFormatting sqref="F108">
    <cfRule type="expression" dxfId="186" priority="217">
      <formula>$H108="Échec"</formula>
    </cfRule>
  </conditionalFormatting>
  <conditionalFormatting sqref="F108">
    <cfRule type="expression" dxfId="185" priority="216">
      <formula>MOD(ROW(),2)</formula>
    </cfRule>
  </conditionalFormatting>
  <conditionalFormatting sqref="J110">
    <cfRule type="expression" dxfId="184" priority="184">
      <formula>MOD(ROW(),2)</formula>
    </cfRule>
  </conditionalFormatting>
  <conditionalFormatting sqref="I110">
    <cfRule type="expression" dxfId="183" priority="186">
      <formula>$H110="Échec"</formula>
    </cfRule>
  </conditionalFormatting>
  <conditionalFormatting sqref="I110">
    <cfRule type="expression" dxfId="182" priority="185">
      <formula>MOD(ROW(),2)</formula>
    </cfRule>
  </conditionalFormatting>
  <conditionalFormatting sqref="I108">
    <cfRule type="expression" dxfId="181" priority="176">
      <formula>$H108="Échec"</formula>
    </cfRule>
  </conditionalFormatting>
  <conditionalFormatting sqref="J110">
    <cfRule type="expression" dxfId="180" priority="183">
      <formula>$H110="Échec"</formula>
    </cfRule>
  </conditionalFormatting>
  <conditionalFormatting sqref="J110">
    <cfRule type="expression" dxfId="179" priority="182">
      <formula>MOD(ROW(),2)</formula>
    </cfRule>
  </conditionalFormatting>
  <conditionalFormatting sqref="J110">
    <cfRule type="expression" dxfId="178" priority="181">
      <formula>$H110="Échec"</formula>
    </cfRule>
  </conditionalFormatting>
  <conditionalFormatting sqref="J111">
    <cfRule type="expression" dxfId="177" priority="199">
      <formula>$H111="Échec"</formula>
    </cfRule>
  </conditionalFormatting>
  <conditionalFormatting sqref="J111">
    <cfRule type="expression" dxfId="176" priority="198">
      <formula>MOD(ROW(),2)</formula>
    </cfRule>
  </conditionalFormatting>
  <conditionalFormatting sqref="J111">
    <cfRule type="expression" dxfId="175" priority="197">
      <formula>$H111="Échec"</formula>
    </cfRule>
  </conditionalFormatting>
  <conditionalFormatting sqref="I111">
    <cfRule type="expression" dxfId="174" priority="201">
      <formula>$H111="Échec"</formula>
    </cfRule>
  </conditionalFormatting>
  <conditionalFormatting sqref="F111 I111:J111">
    <cfRule type="expression" dxfId="173" priority="200">
      <formula>MOD(ROW(),2)</formula>
    </cfRule>
  </conditionalFormatting>
  <conditionalFormatting sqref="E110">
    <cfRule type="expression" dxfId="172" priority="194">
      <formula>$H110="Échec"</formula>
    </cfRule>
  </conditionalFormatting>
  <conditionalFormatting sqref="E110">
    <cfRule type="expression" dxfId="171" priority="193">
      <formula>MOD(ROW(),2)</formula>
    </cfRule>
  </conditionalFormatting>
  <conditionalFormatting sqref="F110">
    <cfRule type="expression" dxfId="170" priority="192">
      <formula>$H110="Échec"</formula>
    </cfRule>
  </conditionalFormatting>
  <conditionalFormatting sqref="F110">
    <cfRule type="expression" dxfId="169" priority="191">
      <formula>MOD(ROW(),2)</formula>
    </cfRule>
  </conditionalFormatting>
  <conditionalFormatting sqref="E111">
    <cfRule type="expression" dxfId="168" priority="179">
      <formula>MOD(ROW(),2)</formula>
    </cfRule>
  </conditionalFormatting>
  <conditionalFormatting sqref="E111">
    <cfRule type="expression" dxfId="167" priority="180">
      <formula>$H111="Échec"</formula>
    </cfRule>
  </conditionalFormatting>
  <conditionalFormatting sqref="I108">
    <cfRule type="expression" dxfId="166" priority="175">
      <formula>MOD(ROW(),2)</formula>
    </cfRule>
  </conditionalFormatting>
  <conditionalFormatting sqref="J108">
    <cfRule type="expression" dxfId="165" priority="174">
      <formula>MOD(ROW(),2)</formula>
    </cfRule>
  </conditionalFormatting>
  <conditionalFormatting sqref="J108">
    <cfRule type="expression" dxfId="164" priority="173">
      <formula>$H108="Échec"</formula>
    </cfRule>
  </conditionalFormatting>
  <conditionalFormatting sqref="J108">
    <cfRule type="expression" dxfId="163" priority="172">
      <formula>MOD(ROW(),2)</formula>
    </cfRule>
  </conditionalFormatting>
  <conditionalFormatting sqref="J108">
    <cfRule type="expression" dxfId="162" priority="171">
      <formula>$H108="Échec"</formula>
    </cfRule>
  </conditionalFormatting>
  <conditionalFormatting sqref="E105">
    <cfRule type="expression" dxfId="161" priority="166">
      <formula>$H105="Échec"</formula>
    </cfRule>
  </conditionalFormatting>
  <conditionalFormatting sqref="E105">
    <cfRule type="expression" dxfId="160" priority="165">
      <formula>MOD(ROW(),2)</formula>
    </cfRule>
  </conditionalFormatting>
  <conditionalFormatting sqref="F105">
    <cfRule type="expression" dxfId="159" priority="164">
      <formula>$H105="Échec"</formula>
    </cfRule>
  </conditionalFormatting>
  <conditionalFormatting sqref="F105">
    <cfRule type="expression" dxfId="158" priority="163">
      <formula>MOD(ROW(),2)</formula>
    </cfRule>
  </conditionalFormatting>
  <conditionalFormatting sqref="I105:I107">
    <cfRule type="expression" dxfId="157" priority="161">
      <formula>MOD(ROW(),2)</formula>
    </cfRule>
  </conditionalFormatting>
  <conditionalFormatting sqref="J105:J107">
    <cfRule type="expression" dxfId="156" priority="160">
      <formula>MOD(ROW(),2)</formula>
    </cfRule>
  </conditionalFormatting>
  <conditionalFormatting sqref="J105:J107">
    <cfRule type="expression" dxfId="155" priority="158">
      <formula>MOD(ROW(),2)</formula>
    </cfRule>
  </conditionalFormatting>
  <conditionalFormatting sqref="E106">
    <cfRule type="expression" dxfId="154" priority="156">
      <formula>$H106="Échec"</formula>
    </cfRule>
  </conditionalFormatting>
  <conditionalFormatting sqref="E106">
    <cfRule type="expression" dxfId="153" priority="155">
      <formula>MOD(ROW(),2)</formula>
    </cfRule>
  </conditionalFormatting>
  <conditionalFormatting sqref="F106">
    <cfRule type="expression" dxfId="152" priority="154">
      <formula>$H106="Échec"</formula>
    </cfRule>
  </conditionalFormatting>
  <conditionalFormatting sqref="F106">
    <cfRule type="expression" dxfId="151" priority="153">
      <formula>MOD(ROW(),2)</formula>
    </cfRule>
  </conditionalFormatting>
  <conditionalFormatting sqref="E107">
    <cfRule type="expression" dxfId="150" priority="152">
      <formula>$H107="Échec"</formula>
    </cfRule>
  </conditionalFormatting>
  <conditionalFormatting sqref="E107">
    <cfRule type="expression" dxfId="149" priority="151">
      <formula>MOD(ROW(),2)</formula>
    </cfRule>
  </conditionalFormatting>
  <conditionalFormatting sqref="F107">
    <cfRule type="expression" dxfId="148" priority="149">
      <formula>MOD(ROW(),2)</formula>
    </cfRule>
  </conditionalFormatting>
  <conditionalFormatting sqref="F107">
    <cfRule type="expression" dxfId="147" priority="150">
      <formula>$H107="Échec"</formula>
    </cfRule>
  </conditionalFormatting>
  <conditionalFormatting sqref="E109">
    <cfRule type="expression" dxfId="146" priority="142">
      <formula>$H109="Échec"</formula>
    </cfRule>
  </conditionalFormatting>
  <conditionalFormatting sqref="E109">
    <cfRule type="expression" dxfId="145" priority="141">
      <formula>MOD(ROW(),2)</formula>
    </cfRule>
  </conditionalFormatting>
  <conditionalFormatting sqref="I10:J13">
    <cfRule type="expression" dxfId="144" priority="587">
      <formula>$H5="Échec"</formula>
    </cfRule>
  </conditionalFormatting>
  <conditionalFormatting sqref="J9">
    <cfRule type="expression" dxfId="143" priority="113">
      <formula>$H9="Échec"</formula>
    </cfRule>
  </conditionalFormatting>
  <conditionalFormatting sqref="J9">
    <cfRule type="expression" dxfId="142" priority="112">
      <formula>MOD(ROW(),2)</formula>
    </cfRule>
  </conditionalFormatting>
  <conditionalFormatting sqref="I9">
    <cfRule type="expression" dxfId="141" priority="111">
      <formula>$H9="Échec"</formula>
    </cfRule>
  </conditionalFormatting>
  <conditionalFormatting sqref="I9">
    <cfRule type="expression" dxfId="140" priority="110">
      <formula>MOD(ROW(),2)</formula>
    </cfRule>
  </conditionalFormatting>
  <conditionalFormatting sqref="J5">
    <cfRule type="expression" dxfId="139" priority="109">
      <formula>$H5="Échec"</formula>
    </cfRule>
  </conditionalFormatting>
  <conditionalFormatting sqref="J5">
    <cfRule type="expression" dxfId="138" priority="108">
      <formula>MOD(ROW(),2)</formula>
    </cfRule>
  </conditionalFormatting>
  <conditionalFormatting sqref="I8">
    <cfRule type="expression" dxfId="137" priority="105">
      <formula>$H8="Échec"</formula>
    </cfRule>
  </conditionalFormatting>
  <conditionalFormatting sqref="I8">
    <cfRule type="expression" dxfId="136" priority="104">
      <formula>MOD(ROW(),2)</formula>
    </cfRule>
  </conditionalFormatting>
  <conditionalFormatting sqref="I8">
    <cfRule type="expression" dxfId="135" priority="103">
      <formula>$H8="Échec"</formula>
    </cfRule>
  </conditionalFormatting>
  <conditionalFormatting sqref="I6">
    <cfRule type="expression" dxfId="134" priority="102">
      <formula>$H6="Échec"</formula>
    </cfRule>
  </conditionalFormatting>
  <conditionalFormatting sqref="I6">
    <cfRule type="expression" dxfId="133" priority="101">
      <formula>MOD(ROW(),2)</formula>
    </cfRule>
  </conditionalFormatting>
  <conditionalFormatting sqref="I6">
    <cfRule type="expression" dxfId="132" priority="100">
      <formula>$H6="Échec"</formula>
    </cfRule>
  </conditionalFormatting>
  <conditionalFormatting sqref="I4">
    <cfRule type="expression" dxfId="131" priority="94">
      <formula>$H4="Échec"</formula>
    </cfRule>
  </conditionalFormatting>
  <conditionalFormatting sqref="I4">
    <cfRule type="expression" dxfId="130" priority="93">
      <formula>MOD(ROW(),2)</formula>
    </cfRule>
  </conditionalFormatting>
  <conditionalFormatting sqref="I4">
    <cfRule type="expression" dxfId="129" priority="92">
      <formula>$H4="Échec"</formula>
    </cfRule>
  </conditionalFormatting>
  <conditionalFormatting sqref="I5">
    <cfRule type="expression" dxfId="128" priority="91">
      <formula>$H5="Échec"</formula>
    </cfRule>
  </conditionalFormatting>
  <conditionalFormatting sqref="I5">
    <cfRule type="expression" dxfId="127" priority="90">
      <formula>MOD(ROW(),2)</formula>
    </cfRule>
  </conditionalFormatting>
  <conditionalFormatting sqref="I7">
    <cfRule type="expression" dxfId="126" priority="89">
      <formula>$H7="Échec"</formula>
    </cfRule>
  </conditionalFormatting>
  <conditionalFormatting sqref="I7">
    <cfRule type="expression" dxfId="125" priority="88">
      <formula>MOD(ROW(),2)</formula>
    </cfRule>
  </conditionalFormatting>
  <conditionalFormatting sqref="J7">
    <cfRule type="expression" dxfId="124" priority="85">
      <formula>$H7="Échec"</formula>
    </cfRule>
  </conditionalFormatting>
  <conditionalFormatting sqref="J7">
    <cfRule type="expression" dxfId="123" priority="84">
      <formula>MOD(ROW(),2)</formula>
    </cfRule>
  </conditionalFormatting>
  <conditionalFormatting sqref="J7">
    <cfRule type="expression" dxfId="122" priority="83">
      <formula>MOD(ROW(),2)</formula>
    </cfRule>
  </conditionalFormatting>
  <conditionalFormatting sqref="C9">
    <cfRule type="expression" dxfId="121" priority="82">
      <formula>$H9="Échec"</formula>
    </cfRule>
  </conditionalFormatting>
  <conditionalFormatting sqref="E10">
    <cfRule type="expression" dxfId="120" priority="81">
      <formula>$H10="Échec"</formula>
    </cfRule>
  </conditionalFormatting>
  <conditionalFormatting sqref="E10">
    <cfRule type="expression" dxfId="119" priority="80">
      <formula>MOD(ROW(),2)</formula>
    </cfRule>
  </conditionalFormatting>
  <conditionalFormatting sqref="F10">
    <cfRule type="expression" dxfId="118" priority="79">
      <formula>$H10="Échec"</formula>
    </cfRule>
  </conditionalFormatting>
  <conditionalFormatting sqref="F10">
    <cfRule type="expression" dxfId="117" priority="78">
      <formula>MOD(ROW(),2)</formula>
    </cfRule>
  </conditionalFormatting>
  <conditionalFormatting sqref="C12">
    <cfRule type="expression" dxfId="116" priority="77">
      <formula>$H12="Échec"</formula>
    </cfRule>
  </conditionalFormatting>
  <conditionalFormatting sqref="C12">
    <cfRule type="expression" dxfId="115" priority="76">
      <formula>MOD(ROW(),2)</formula>
    </cfRule>
  </conditionalFormatting>
  <conditionalFormatting sqref="C12">
    <cfRule type="expression" dxfId="114" priority="75">
      <formula>$H12="Échec"</formula>
    </cfRule>
  </conditionalFormatting>
  <conditionalFormatting sqref="C12">
    <cfRule type="expression" dxfId="113" priority="74">
      <formula>MOD(ROW(),2)</formula>
    </cfRule>
  </conditionalFormatting>
  <conditionalFormatting sqref="G12 D12">
    <cfRule type="expression" dxfId="112" priority="73">
      <formula>$H12="Échec"</formula>
    </cfRule>
  </conditionalFormatting>
  <conditionalFormatting sqref="G12 D12">
    <cfRule type="expression" dxfId="111" priority="72">
      <formula>MOD(ROW(),2)</formula>
    </cfRule>
  </conditionalFormatting>
  <conditionalFormatting sqref="E12">
    <cfRule type="expression" dxfId="110" priority="71">
      <formula>$H12="Échec"</formula>
    </cfRule>
  </conditionalFormatting>
  <conditionalFormatting sqref="E12">
    <cfRule type="expression" dxfId="109" priority="70">
      <formula>MOD(ROW(),2)</formula>
    </cfRule>
  </conditionalFormatting>
  <conditionalFormatting sqref="F12">
    <cfRule type="expression" dxfId="108" priority="69">
      <formula>$H12="Échec"</formula>
    </cfRule>
  </conditionalFormatting>
  <conditionalFormatting sqref="F12">
    <cfRule type="expression" dxfId="107" priority="68">
      <formula>MOD(ROW(),2)</formula>
    </cfRule>
  </conditionalFormatting>
  <conditionalFormatting sqref="G14 D14">
    <cfRule type="expression" dxfId="106" priority="67">
      <formula>$H14="Échec"</formula>
    </cfRule>
  </conditionalFormatting>
  <conditionalFormatting sqref="G14 D14">
    <cfRule type="expression" dxfId="105" priority="66">
      <formula>MOD(ROW(),2)</formula>
    </cfRule>
  </conditionalFormatting>
  <conditionalFormatting sqref="E14">
    <cfRule type="expression" dxfId="104" priority="65">
      <formula>$H14="Échec"</formula>
    </cfRule>
  </conditionalFormatting>
  <conditionalFormatting sqref="E14">
    <cfRule type="expression" dxfId="103" priority="64">
      <formula>MOD(ROW(),2)</formula>
    </cfRule>
  </conditionalFormatting>
  <conditionalFormatting sqref="F14">
    <cfRule type="expression" dxfId="102" priority="63">
      <formula>$H14="Échec"</formula>
    </cfRule>
  </conditionalFormatting>
  <conditionalFormatting sqref="F14">
    <cfRule type="expression" dxfId="101" priority="62">
      <formula>MOD(ROW(),2)</formula>
    </cfRule>
  </conditionalFormatting>
  <conditionalFormatting sqref="D11:G11">
    <cfRule type="expression" dxfId="100" priority="61">
      <formula>$H11="Échec"</formula>
    </cfRule>
  </conditionalFormatting>
  <conditionalFormatting sqref="D11:G11">
    <cfRule type="expression" dxfId="99" priority="60">
      <formula>MOD(ROW(),2)</formula>
    </cfRule>
  </conditionalFormatting>
  <conditionalFormatting sqref="D13:G13">
    <cfRule type="expression" dxfId="98" priority="59">
      <formula>$H13="Échec"</formula>
    </cfRule>
  </conditionalFormatting>
  <conditionalFormatting sqref="D13:G13">
    <cfRule type="expression" dxfId="97" priority="58">
      <formula>MOD(ROW(),2)</formula>
    </cfRule>
  </conditionalFormatting>
  <conditionalFormatting sqref="D15:G15">
    <cfRule type="expression" dxfId="96" priority="57">
      <formula>$H15="Échec"</formula>
    </cfRule>
  </conditionalFormatting>
  <conditionalFormatting sqref="D15:G15">
    <cfRule type="expression" dxfId="95" priority="56">
      <formula>MOD(ROW(),2)</formula>
    </cfRule>
  </conditionalFormatting>
  <conditionalFormatting sqref="C16">
    <cfRule type="expression" dxfId="94" priority="55">
      <formula>MOD(ROW(),2)</formula>
    </cfRule>
  </conditionalFormatting>
  <conditionalFormatting sqref="C16">
    <cfRule type="expression" dxfId="93" priority="54">
      <formula>MOD(ROW(),2)</formula>
    </cfRule>
  </conditionalFormatting>
  <conditionalFormatting sqref="C16">
    <cfRule type="expression" dxfId="92" priority="53">
      <formula>MOD(ROW(),2)</formula>
    </cfRule>
  </conditionalFormatting>
  <conditionalFormatting sqref="C16">
    <cfRule type="expression" dxfId="91" priority="52">
      <formula>MOD(ROW(),2)</formula>
    </cfRule>
  </conditionalFormatting>
  <conditionalFormatting sqref="G16 D16">
    <cfRule type="expression" dxfId="90" priority="51">
      <formula>$H16="Échec"</formula>
    </cfRule>
  </conditionalFormatting>
  <conditionalFormatting sqref="G16 D16">
    <cfRule type="expression" dxfId="89" priority="50">
      <formula>MOD(ROW(),2)</formula>
    </cfRule>
  </conditionalFormatting>
  <conditionalFormatting sqref="E16">
    <cfRule type="expression" dxfId="88" priority="49">
      <formula>$H16="Échec"</formula>
    </cfRule>
  </conditionalFormatting>
  <conditionalFormatting sqref="E16">
    <cfRule type="expression" dxfId="87" priority="48">
      <formula>MOD(ROW(),2)</formula>
    </cfRule>
  </conditionalFormatting>
  <conditionalFormatting sqref="F16">
    <cfRule type="expression" dxfId="86" priority="47">
      <formula>$H16="Échec"</formula>
    </cfRule>
  </conditionalFormatting>
  <conditionalFormatting sqref="F16">
    <cfRule type="expression" dxfId="85" priority="46">
      <formula>MOD(ROW(),2)</formula>
    </cfRule>
  </conditionalFormatting>
  <conditionalFormatting sqref="D17:E17 G17">
    <cfRule type="expression" dxfId="84" priority="45">
      <formula>$H17="Échec"</formula>
    </cfRule>
  </conditionalFormatting>
  <conditionalFormatting sqref="D17:E17 G17">
    <cfRule type="expression" dxfId="83" priority="44">
      <formula>MOD(ROW(),2)</formula>
    </cfRule>
  </conditionalFormatting>
  <conditionalFormatting sqref="C11">
    <cfRule type="expression" dxfId="82" priority="43">
      <formula>$H11="Échec"</formula>
    </cfRule>
  </conditionalFormatting>
  <conditionalFormatting sqref="C11">
    <cfRule type="expression" dxfId="81" priority="42">
      <formula>MOD(ROW(),2)</formula>
    </cfRule>
  </conditionalFormatting>
  <conditionalFormatting sqref="C13">
    <cfRule type="expression" dxfId="80" priority="41">
      <formula>$H13="Échec"</formula>
    </cfRule>
  </conditionalFormatting>
  <conditionalFormatting sqref="C13">
    <cfRule type="expression" dxfId="79" priority="40">
      <formula>MOD(ROW(),2)</formula>
    </cfRule>
  </conditionalFormatting>
  <conditionalFormatting sqref="C13">
    <cfRule type="expression" dxfId="78" priority="39">
      <formula>$H13="Échec"</formula>
    </cfRule>
  </conditionalFormatting>
  <conditionalFormatting sqref="C13">
    <cfRule type="expression" dxfId="77" priority="38">
      <formula>MOD(ROW(),2)</formula>
    </cfRule>
  </conditionalFormatting>
  <conditionalFormatting sqref="C13">
    <cfRule type="expression" dxfId="76" priority="37">
      <formula>$H13="Échec"</formula>
    </cfRule>
  </conditionalFormatting>
  <conditionalFormatting sqref="C13">
    <cfRule type="expression" dxfId="75" priority="36">
      <formula>MOD(ROW(),2)</formula>
    </cfRule>
  </conditionalFormatting>
  <conditionalFormatting sqref="C13">
    <cfRule type="expression" dxfId="74" priority="35">
      <formula>$H13="Échec"</formula>
    </cfRule>
  </conditionalFormatting>
  <conditionalFormatting sqref="C13">
    <cfRule type="expression" dxfId="73" priority="34">
      <formula>MOD(ROW(),2)</formula>
    </cfRule>
  </conditionalFormatting>
  <conditionalFormatting sqref="C13">
    <cfRule type="expression" dxfId="72" priority="33">
      <formula>$H13="Échec"</formula>
    </cfRule>
  </conditionalFormatting>
  <conditionalFormatting sqref="C13">
    <cfRule type="expression" dxfId="71" priority="32">
      <formula>MOD(ROW(),2)</formula>
    </cfRule>
  </conditionalFormatting>
  <conditionalFormatting sqref="C17">
    <cfRule type="expression" dxfId="70" priority="31">
      <formula>MOD(ROW(),2)</formula>
    </cfRule>
  </conditionalFormatting>
  <conditionalFormatting sqref="C17">
    <cfRule type="expression" dxfId="69" priority="30">
      <formula>MOD(ROW(),2)</formula>
    </cfRule>
  </conditionalFormatting>
  <conditionalFormatting sqref="C17">
    <cfRule type="expression" dxfId="68" priority="29">
      <formula>MOD(ROW(),2)</formula>
    </cfRule>
  </conditionalFormatting>
  <conditionalFormatting sqref="C17">
    <cfRule type="expression" dxfId="67" priority="28">
      <formula>MOD(ROW(),2)</formula>
    </cfRule>
  </conditionalFormatting>
  <conditionalFormatting sqref="F17">
    <cfRule type="expression" dxfId="66" priority="27">
      <formula>$H17="Échec"</formula>
    </cfRule>
  </conditionalFormatting>
  <conditionalFormatting sqref="F17">
    <cfRule type="expression" dxfId="65" priority="26">
      <formula>MOD(ROW(),2)</formula>
    </cfRule>
  </conditionalFormatting>
  <conditionalFormatting sqref="E18">
    <cfRule type="expression" dxfId="64" priority="25">
      <formula>$H18="Échec"</formula>
    </cfRule>
  </conditionalFormatting>
  <conditionalFormatting sqref="E18">
    <cfRule type="expression" dxfId="63" priority="24">
      <formula>MOD(ROW(),2)</formula>
    </cfRule>
  </conditionalFormatting>
  <conditionalFormatting sqref="F18">
    <cfRule type="expression" dxfId="62" priority="23">
      <formula>$H18="Échec"</formula>
    </cfRule>
  </conditionalFormatting>
  <conditionalFormatting sqref="F18">
    <cfRule type="expression" dxfId="61" priority="22">
      <formula>MOD(ROW(),2)</formula>
    </cfRule>
  </conditionalFormatting>
  <conditionalFormatting sqref="E19">
    <cfRule type="expression" dxfId="60" priority="21">
      <formula>$H19="Échec"</formula>
    </cfRule>
  </conditionalFormatting>
  <conditionalFormatting sqref="E19">
    <cfRule type="expression" dxfId="59" priority="20">
      <formula>MOD(ROW(),2)</formula>
    </cfRule>
  </conditionalFormatting>
  <conditionalFormatting sqref="F19">
    <cfRule type="expression" dxfId="58" priority="19">
      <formula>$H19="Échec"</formula>
    </cfRule>
  </conditionalFormatting>
  <conditionalFormatting sqref="F19">
    <cfRule type="expression" dxfId="57" priority="18">
      <formula>MOD(ROW(),2)</formula>
    </cfRule>
  </conditionalFormatting>
  <conditionalFormatting sqref="E20">
    <cfRule type="expression" dxfId="56" priority="17">
      <formula>$H20="Échec"</formula>
    </cfRule>
  </conditionalFormatting>
  <conditionalFormatting sqref="E20">
    <cfRule type="expression" dxfId="55" priority="16">
      <formula>MOD(ROW(),2)</formula>
    </cfRule>
  </conditionalFormatting>
  <conditionalFormatting sqref="F20">
    <cfRule type="expression" dxfId="54" priority="15">
      <formula>$H20="Échec"</formula>
    </cfRule>
  </conditionalFormatting>
  <conditionalFormatting sqref="F20">
    <cfRule type="expression" dxfId="53" priority="14">
      <formula>MOD(ROW(),2)</formula>
    </cfRule>
  </conditionalFormatting>
  <conditionalFormatting sqref="E21">
    <cfRule type="expression" dxfId="52" priority="13">
      <formula>$H21="Échec"</formula>
    </cfRule>
  </conditionalFormatting>
  <conditionalFormatting sqref="E21">
    <cfRule type="expression" dxfId="51" priority="12">
      <formula>MOD(ROW(),2)</formula>
    </cfRule>
  </conditionalFormatting>
  <conditionalFormatting sqref="F21">
    <cfRule type="expression" dxfId="50" priority="11">
      <formula>$H21="Échec"</formula>
    </cfRule>
  </conditionalFormatting>
  <conditionalFormatting sqref="F21">
    <cfRule type="expression" dxfId="49" priority="10">
      <formula>MOD(ROW(),2)</formula>
    </cfRule>
  </conditionalFormatting>
  <conditionalFormatting sqref="J14">
    <cfRule type="expression" dxfId="48" priority="589">
      <formula>$H18="Échec"</formula>
    </cfRule>
  </conditionalFormatting>
  <conditionalFormatting sqref="J18">
    <cfRule type="expression" dxfId="47" priority="591">
      <formula>$H20="Échec"</formula>
    </cfRule>
  </conditionalFormatting>
  <conditionalFormatting sqref="E22">
    <cfRule type="expression" dxfId="46" priority="9">
      <formula>$H22="Échec"</formula>
    </cfRule>
  </conditionalFormatting>
  <conditionalFormatting sqref="E22">
    <cfRule type="expression" dxfId="45" priority="8">
      <formula>MOD(ROW(),2)</formula>
    </cfRule>
  </conditionalFormatting>
  <conditionalFormatting sqref="F22">
    <cfRule type="expression" dxfId="44" priority="7">
      <formula>$H22="Échec"</formula>
    </cfRule>
  </conditionalFormatting>
  <conditionalFormatting sqref="F22">
    <cfRule type="expression" dxfId="43" priority="6">
      <formula>MOD(ROW(),2)</formula>
    </cfRule>
  </conditionalFormatting>
  <conditionalFormatting sqref="D28:I28">
    <cfRule type="expression" dxfId="42" priority="5">
      <formula>$H28="Échec"</formula>
    </cfRule>
  </conditionalFormatting>
  <conditionalFormatting sqref="D28:I28">
    <cfRule type="expression" dxfId="41" priority="4">
      <formula>MOD(ROW(),2)</formula>
    </cfRule>
  </conditionalFormatting>
  <conditionalFormatting sqref="D29:J29">
    <cfRule type="expression" dxfId="40" priority="3">
      <formula>$H29="Échec"</formula>
    </cfRule>
  </conditionalFormatting>
  <conditionalFormatting sqref="D29:J29">
    <cfRule type="expression" dxfId="39" priority="2">
      <formula>MOD(ROW(),2)</formula>
    </cfRule>
  </conditionalFormatting>
  <conditionalFormatting sqref="I29">
    <cfRule type="expression" dxfId="38" priority="1">
      <formula>$H29="Échec"</formula>
    </cfRule>
  </conditionalFormatting>
  <dataValidations count="5">
    <dataValidation type="time" allowBlank="1" showInputMessage="1" showErrorMessage="1" sqref="E4:E22" xr:uid="{00000000-0002-0000-0000-000000000000}">
      <formula1>0.3125</formula1>
      <formula2>0.743055555555555</formula2>
    </dataValidation>
    <dataValidation type="list" allowBlank="1" showInputMessage="1" showErrorMessage="1" sqref="I9:J9 J5 H4:H144" xr:uid="{00000000-0002-0000-0000-000001000000}">
      <formula1>INDIRECT($G4)</formula1>
    </dataValidation>
    <dataValidation type="list" allowBlank="1" showInputMessage="1" showErrorMessage="1" sqref="D4:D145" xr:uid="{00000000-0002-0000-0000-000002000000}">
      <formula1>Type_heure</formula1>
    </dataValidation>
    <dataValidation type="list" allowBlank="1" showInputMessage="1" showErrorMessage="1" sqref="I4:I8 I10:I145" xr:uid="{00000000-0002-0000-0000-000003000000}">
      <formula1>Activités</formula1>
    </dataValidation>
    <dataValidation type="list" allowBlank="1" showInputMessage="1" showErrorMessage="1" sqref="G4:G144" xr:uid="{00000000-0002-0000-0000-000004000000}">
      <formula1>Matières</formula1>
    </dataValidation>
  </dataValidations>
  <printOptions horizontalCentered="1"/>
  <pageMargins left="0" right="0" top="0.74803149606299213" bottom="0.74803149606299213" header="0.31496062992125984" footer="0.31496062992125984"/>
  <pageSetup paperSize="9" scale="88" fitToHeight="0" orientation="landscape" r:id="rId1"/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errorStyle="warning" allowBlank="1" showInputMessage="1" errorTitle="Erreur !" error="La valeur doit être Correct, Échec ou Ultérieurement." xr:uid="{00000000-0002-0000-0000-000005000000}">
          <x14:formula1>
            <xm:f>Configurations!$G$26:$G$28</xm:f>
          </x14:formula1>
          <xm:sqref>H145</xm:sqref>
        </x14:dataValidation>
        <x14:dataValidation type="list" allowBlank="1" showInputMessage="1" showErrorMessage="1" xr:uid="{00000000-0002-0000-0000-000006000000}">
          <x14:formula1>
            <xm:f>Configurations!$E$19:$E$27</xm:f>
          </x14:formula1>
          <xm:sqref>G145</xm:sqref>
        </x14:dataValidation>
        <x14:dataValidation type="date" allowBlank="1" showInputMessage="1" showErrorMessage="1" xr:uid="{00000000-0002-0000-0000-000007000000}">
          <x14:formula1>
            <xm:f>Configurations!$E$10</xm:f>
          </x14:formula1>
          <x14:formula2>
            <xm:f>Configurations!$E$11</xm:f>
          </x14:formula2>
          <xm:sqref>C4:C144</xm:sqref>
        </x14:dataValidation>
      </x14:dataValidations>
    </ext>
    <ext xmlns:x15="http://schemas.microsoft.com/office/spreadsheetml/2010/11/main" uri="{3A4CF648-6AED-40f4-86FF-DC5316D8AED3}">
      <x14:slicerList xmlns:x14="http://schemas.microsoft.com/office/spreadsheetml/2009/9/main">
        <x14:slicer r:id="rId4"/>
      </x14:slicerList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A1:I59"/>
  <sheetViews>
    <sheetView showGridLines="0" view="pageBreakPreview" zoomScaleNormal="100" zoomScaleSheetLayoutView="100" workbookViewId="0">
      <selection activeCell="D4" sqref="D4"/>
    </sheetView>
  </sheetViews>
  <sheetFormatPr baseColWidth="10" defaultColWidth="8.5703125" defaultRowHeight="14.25" x14ac:dyDescent="0.3"/>
  <cols>
    <col min="1" max="1" width="7.85546875" style="3" customWidth="1"/>
    <col min="2" max="2" width="3.28515625" customWidth="1"/>
    <col min="3" max="3" width="17.85546875" customWidth="1"/>
    <col min="4" max="4" width="21.5703125" customWidth="1"/>
    <col min="5" max="5" width="18" bestFit="1" customWidth="1"/>
    <col min="6" max="6" width="81.42578125" customWidth="1"/>
    <col min="7" max="7" width="10.7109375" style="7" customWidth="1"/>
    <col min="8" max="8" width="3.28515625" customWidth="1"/>
  </cols>
  <sheetData>
    <row r="1" spans="1:9" ht="41.25" customHeight="1" thickBot="1" x14ac:dyDescent="0.35">
      <c r="C1" s="59" t="s">
        <v>14</v>
      </c>
      <c r="D1" s="59"/>
      <c r="E1" s="59"/>
      <c r="F1" s="53" t="str">
        <f>Nom&amp;" "&amp; Prénom</f>
        <v>Hofmann Jonny</v>
      </c>
      <c r="G1" s="70" t="str">
        <f>Configurations!E7&amp;" "&amp;Configurations!E8</f>
        <v>2018 2019</v>
      </c>
    </row>
    <row r="2" spans="1:9" ht="29.25" thickTop="1" x14ac:dyDescent="0.3">
      <c r="C2" s="56"/>
      <c r="D2" s="56"/>
      <c r="E2" s="56"/>
      <c r="F2" s="56"/>
      <c r="G2" s="57"/>
    </row>
    <row r="3" spans="1:9" x14ac:dyDescent="0.3">
      <c r="A3" s="6"/>
    </row>
    <row r="4" spans="1:9" x14ac:dyDescent="0.3">
      <c r="A4" s="6"/>
      <c r="C4" s="60" t="s">
        <v>5</v>
      </c>
      <c r="D4" s="52" t="s">
        <v>15</v>
      </c>
      <c r="E4" s="52"/>
      <c r="F4" s="52"/>
      <c r="G4" s="71"/>
      <c r="H4" s="52"/>
      <c r="I4" s="52"/>
    </row>
    <row r="5" spans="1:9" x14ac:dyDescent="0.3">
      <c r="A5" s="6"/>
      <c r="C5" s="60" t="s">
        <v>2</v>
      </c>
      <c r="D5" s="52" t="s">
        <v>16</v>
      </c>
      <c r="E5" s="52"/>
      <c r="F5" s="52"/>
      <c r="G5" s="71"/>
      <c r="H5" s="52"/>
      <c r="I5" s="52"/>
    </row>
    <row r="6" spans="1:9" x14ac:dyDescent="0.3">
      <c r="A6" s="6"/>
      <c r="C6" s="60" t="s">
        <v>17</v>
      </c>
      <c r="D6" s="52" t="s">
        <v>16</v>
      </c>
      <c r="E6" s="52"/>
      <c r="F6" s="52"/>
      <c r="G6" s="71"/>
      <c r="H6" s="52"/>
      <c r="I6" s="52"/>
    </row>
    <row r="7" spans="1:9" x14ac:dyDescent="0.3">
      <c r="A7" s="6"/>
      <c r="C7" s="52"/>
      <c r="D7" s="52"/>
      <c r="E7" s="52"/>
      <c r="F7" s="52"/>
      <c r="G7" s="71"/>
      <c r="H7" s="52"/>
      <c r="I7" s="52"/>
    </row>
    <row r="8" spans="1:9" x14ac:dyDescent="0.3">
      <c r="A8" s="6"/>
      <c r="C8" s="74" t="s">
        <v>1</v>
      </c>
      <c r="D8" s="60" t="s">
        <v>6</v>
      </c>
      <c r="E8" s="60" t="s">
        <v>7</v>
      </c>
      <c r="F8" s="60" t="s">
        <v>8</v>
      </c>
      <c r="G8" s="72" t="s">
        <v>18</v>
      </c>
    </row>
    <row r="9" spans="1:9" x14ac:dyDescent="0.3">
      <c r="A9" s="6"/>
      <c r="C9" s="52" t="s">
        <v>19</v>
      </c>
      <c r="D9" s="52"/>
      <c r="E9" s="52"/>
      <c r="F9" s="52"/>
      <c r="G9" s="72">
        <v>0</v>
      </c>
    </row>
    <row r="10" spans="1:9" x14ac:dyDescent="0.3">
      <c r="A10" s="6"/>
      <c r="G10"/>
    </row>
    <row r="11" spans="1:9" x14ac:dyDescent="0.3">
      <c r="A11" s="6"/>
      <c r="G11"/>
    </row>
    <row r="12" spans="1:9" x14ac:dyDescent="0.3">
      <c r="A12" s="6"/>
      <c r="G12"/>
    </row>
    <row r="13" spans="1:9" x14ac:dyDescent="0.3">
      <c r="A13" s="6"/>
      <c r="G13"/>
    </row>
    <row r="14" spans="1:9" x14ac:dyDescent="0.3">
      <c r="A14" s="6"/>
      <c r="G14"/>
    </row>
    <row r="15" spans="1:9" x14ac:dyDescent="0.3">
      <c r="A15" s="6"/>
      <c r="G15"/>
    </row>
    <row r="16" spans="1:9" x14ac:dyDescent="0.3">
      <c r="A16" s="6"/>
      <c r="G16"/>
    </row>
    <row r="17" spans="1:9" x14ac:dyDescent="0.3">
      <c r="A17" s="6"/>
      <c r="G17"/>
    </row>
    <row r="18" spans="1:9" x14ac:dyDescent="0.3">
      <c r="A18" s="6"/>
      <c r="G18"/>
    </row>
    <row r="19" spans="1:9" x14ac:dyDescent="0.3">
      <c r="A19" s="6"/>
      <c r="G19"/>
    </row>
    <row r="20" spans="1:9" x14ac:dyDescent="0.3">
      <c r="A20" s="6"/>
      <c r="G20"/>
    </row>
    <row r="21" spans="1:9" x14ac:dyDescent="0.3">
      <c r="A21" s="6"/>
      <c r="G21"/>
    </row>
    <row r="22" spans="1:9" x14ac:dyDescent="0.3">
      <c r="A22" s="6"/>
      <c r="G22"/>
    </row>
    <row r="23" spans="1:9" x14ac:dyDescent="0.3">
      <c r="A23" s="6"/>
      <c r="G23"/>
    </row>
    <row r="24" spans="1:9" x14ac:dyDescent="0.3">
      <c r="A24" s="6"/>
      <c r="G24"/>
    </row>
    <row r="25" spans="1:9" x14ac:dyDescent="0.3">
      <c r="A25" s="6"/>
      <c r="G25"/>
    </row>
    <row r="26" spans="1:9" x14ac:dyDescent="0.3">
      <c r="A26" s="6"/>
      <c r="G26"/>
    </row>
    <row r="27" spans="1:9" x14ac:dyDescent="0.3">
      <c r="A27" s="6"/>
      <c r="G27"/>
    </row>
    <row r="28" spans="1:9" x14ac:dyDescent="0.3">
      <c r="A28" s="6"/>
      <c r="G28"/>
      <c r="I28" s="52"/>
    </row>
    <row r="29" spans="1:9" x14ac:dyDescent="0.3">
      <c r="A29" s="6"/>
      <c r="G29"/>
      <c r="I29" s="52"/>
    </row>
    <row r="30" spans="1:9" x14ac:dyDescent="0.3">
      <c r="A30" s="6"/>
      <c r="G30"/>
      <c r="I30" s="52"/>
    </row>
    <row r="31" spans="1:9" x14ac:dyDescent="0.3">
      <c r="A31" s="6"/>
      <c r="G31"/>
      <c r="I31" s="52"/>
    </row>
    <row r="32" spans="1:9" x14ac:dyDescent="0.3">
      <c r="A32" s="6"/>
      <c r="G32"/>
      <c r="I32" s="52"/>
    </row>
    <row r="33" spans="1:9" x14ac:dyDescent="0.3">
      <c r="A33" s="6"/>
      <c r="G33"/>
      <c r="I33" s="52"/>
    </row>
    <row r="34" spans="1:9" x14ac:dyDescent="0.3">
      <c r="A34" s="6"/>
      <c r="G34"/>
      <c r="I34" s="52"/>
    </row>
    <row r="35" spans="1:9" x14ac:dyDescent="0.3">
      <c r="A35" s="6"/>
      <c r="G35"/>
      <c r="I35" s="52"/>
    </row>
    <row r="36" spans="1:9" x14ac:dyDescent="0.3">
      <c r="A36" s="6"/>
      <c r="G36"/>
    </row>
    <row r="37" spans="1:9" x14ac:dyDescent="0.3">
      <c r="A37" s="6"/>
      <c r="G37"/>
    </row>
    <row r="38" spans="1:9" x14ac:dyDescent="0.3">
      <c r="A38" s="6"/>
      <c r="G38"/>
    </row>
    <row r="39" spans="1:9" x14ac:dyDescent="0.3">
      <c r="A39" s="6"/>
      <c r="G39"/>
    </row>
    <row r="40" spans="1:9" x14ac:dyDescent="0.3">
      <c r="A40" s="6"/>
      <c r="G40"/>
    </row>
    <row r="41" spans="1:9" x14ac:dyDescent="0.3">
      <c r="A41" s="6"/>
      <c r="G41"/>
    </row>
    <row r="42" spans="1:9" x14ac:dyDescent="0.3">
      <c r="A42" s="6"/>
      <c r="G42"/>
    </row>
    <row r="43" spans="1:9" x14ac:dyDescent="0.3">
      <c r="A43" s="6"/>
      <c r="G43"/>
    </row>
    <row r="44" spans="1:9" x14ac:dyDescent="0.3">
      <c r="A44" s="6"/>
      <c r="G44"/>
    </row>
    <row r="45" spans="1:9" x14ac:dyDescent="0.3">
      <c r="A45" s="6"/>
      <c r="G45"/>
    </row>
    <row r="46" spans="1:9" x14ac:dyDescent="0.3">
      <c r="A46" s="6"/>
      <c r="G46"/>
    </row>
    <row r="47" spans="1:9" x14ac:dyDescent="0.3">
      <c r="A47" s="6"/>
      <c r="H47" s="52"/>
    </row>
    <row r="48" spans="1:9" x14ac:dyDescent="0.3">
      <c r="A48" s="6"/>
      <c r="H48" s="52"/>
    </row>
    <row r="49" spans="1:8" x14ac:dyDescent="0.3">
      <c r="A49" s="6"/>
      <c r="H49" s="52"/>
    </row>
    <row r="50" spans="1:8" x14ac:dyDescent="0.3">
      <c r="A50" s="6"/>
      <c r="H50" s="52"/>
    </row>
    <row r="51" spans="1:8" x14ac:dyDescent="0.3">
      <c r="A51" s="6"/>
      <c r="H51" s="52"/>
    </row>
    <row r="52" spans="1:8" x14ac:dyDescent="0.3">
      <c r="A52" s="6"/>
      <c r="H52" s="52"/>
    </row>
    <row r="53" spans="1:8" x14ac:dyDescent="0.3">
      <c r="A53" s="6"/>
      <c r="H53" s="52"/>
    </row>
    <row r="54" spans="1:8" x14ac:dyDescent="0.3">
      <c r="A54" s="6"/>
      <c r="H54" s="52"/>
    </row>
    <row r="55" spans="1:8" x14ac:dyDescent="0.3">
      <c r="A55" s="6"/>
      <c r="H55" s="52"/>
    </row>
    <row r="56" spans="1:8" x14ac:dyDescent="0.3">
      <c r="A56" s="6"/>
      <c r="H56" s="52"/>
    </row>
    <row r="57" spans="1:8" x14ac:dyDescent="0.3">
      <c r="H57" s="52"/>
    </row>
    <row r="58" spans="1:8" x14ac:dyDescent="0.3">
      <c r="H58" s="52"/>
    </row>
    <row r="59" spans="1:8" x14ac:dyDescent="0.3">
      <c r="H59" s="52"/>
    </row>
  </sheetData>
  <pageMargins left="0.7" right="0.7" top="0.75" bottom="0.75" header="0.3" footer="0.3"/>
  <pageSetup paperSize="9" scale="34" orientation="portrait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"/>
  <dimension ref="A1:J61"/>
  <sheetViews>
    <sheetView showGridLines="0" view="pageBreakPreview" zoomScaleNormal="100" zoomScaleSheetLayoutView="100" workbookViewId="0"/>
  </sheetViews>
  <sheetFormatPr baseColWidth="10" defaultColWidth="8.5703125" defaultRowHeight="19.5" customHeight="1" x14ac:dyDescent="0.3"/>
  <cols>
    <col min="1" max="1" width="7.85546875" style="3" customWidth="1"/>
    <col min="2" max="2" width="2.85546875" customWidth="1"/>
    <col min="3" max="8" width="18.42578125" style="55" customWidth="1"/>
    <col min="9" max="9" width="23.42578125" style="55" customWidth="1"/>
    <col min="10" max="10" width="18.42578125" style="55" customWidth="1"/>
    <col min="11" max="12" width="18.42578125" customWidth="1"/>
  </cols>
  <sheetData>
    <row r="1" spans="1:9" ht="28.5" customHeight="1" thickBot="1" x14ac:dyDescent="0.35">
      <c r="A1" s="4"/>
      <c r="C1" s="85" t="s">
        <v>20</v>
      </c>
      <c r="D1" s="85"/>
      <c r="E1" s="85"/>
      <c r="F1" s="85"/>
      <c r="G1" s="85"/>
      <c r="H1" s="85"/>
      <c r="I1" s="54" t="str">
        <f>Configurations!$E$7&amp;" - "&amp;Configurations!$E$8</f>
        <v>2018 - 2019</v>
      </c>
    </row>
    <row r="2" spans="1:9" ht="19.5" customHeight="1" thickTop="1" x14ac:dyDescent="0.3">
      <c r="A2" s="4"/>
      <c r="C2" s="56"/>
      <c r="D2" s="56"/>
      <c r="E2" s="56"/>
      <c r="F2" s="56"/>
      <c r="G2" s="56"/>
      <c r="H2" s="56"/>
      <c r="I2" s="57"/>
    </row>
    <row r="3" spans="1:9" ht="23.25" customHeight="1" x14ac:dyDescent="0.3">
      <c r="A3" s="4"/>
      <c r="C3" s="56" t="s">
        <v>21</v>
      </c>
      <c r="D3" s="56"/>
      <c r="E3" s="56"/>
      <c r="G3" s="57" t="str">
        <f>TCD_Gra_Tâches!B3</f>
        <v>(Plusieurs éléments)</v>
      </c>
      <c r="H3" s="56"/>
      <c r="I3" s="58" t="str">
        <f>Nom&amp;" "&amp; Prénom</f>
        <v>Hofmann Jonny</v>
      </c>
    </row>
    <row r="4" spans="1:9" ht="19.5" customHeight="1" x14ac:dyDescent="0.3">
      <c r="A4" s="6"/>
    </row>
    <row r="5" spans="1:9" ht="19.5" customHeight="1" x14ac:dyDescent="0.3">
      <c r="A5" s="6"/>
    </row>
    <row r="6" spans="1:9" ht="19.5" customHeight="1" x14ac:dyDescent="0.3">
      <c r="A6" s="6"/>
    </row>
    <row r="7" spans="1:9" ht="19.5" customHeight="1" x14ac:dyDescent="0.3">
      <c r="A7" s="6"/>
    </row>
    <row r="8" spans="1:9" ht="19.5" customHeight="1" x14ac:dyDescent="0.3">
      <c r="A8" s="6"/>
    </row>
    <row r="9" spans="1:9" ht="19.5" customHeight="1" x14ac:dyDescent="0.3">
      <c r="A9" s="6"/>
    </row>
    <row r="10" spans="1:9" ht="19.5" customHeight="1" x14ac:dyDescent="0.3">
      <c r="A10" s="6"/>
    </row>
    <row r="11" spans="1:9" ht="19.5" customHeight="1" x14ac:dyDescent="0.3">
      <c r="A11" s="6"/>
    </row>
    <row r="12" spans="1:9" ht="19.5" customHeight="1" x14ac:dyDescent="0.3">
      <c r="A12" s="6"/>
    </row>
    <row r="13" spans="1:9" ht="19.5" customHeight="1" x14ac:dyDescent="0.3">
      <c r="A13" s="6"/>
    </row>
    <row r="14" spans="1:9" ht="19.5" customHeight="1" x14ac:dyDescent="0.3">
      <c r="A14" s="6"/>
    </row>
    <row r="15" spans="1:9" ht="19.5" customHeight="1" x14ac:dyDescent="0.3">
      <c r="A15" s="6"/>
    </row>
    <row r="16" spans="1:9" ht="19.5" customHeight="1" x14ac:dyDescent="0.3">
      <c r="A16" s="6"/>
    </row>
    <row r="17" spans="1:9" ht="19.5" customHeight="1" x14ac:dyDescent="0.3">
      <c r="A17" s="6"/>
    </row>
    <row r="18" spans="1:9" ht="19.5" customHeight="1" x14ac:dyDescent="0.3">
      <c r="A18" s="6"/>
    </row>
    <row r="19" spans="1:9" ht="19.5" customHeight="1" x14ac:dyDescent="0.3">
      <c r="A19" s="6"/>
    </row>
    <row r="20" spans="1:9" ht="19.5" customHeight="1" x14ac:dyDescent="0.3">
      <c r="A20" s="6"/>
    </row>
    <row r="21" spans="1:9" ht="19.5" customHeight="1" x14ac:dyDescent="0.3">
      <c r="A21" s="6"/>
    </row>
    <row r="22" spans="1:9" ht="19.5" customHeight="1" x14ac:dyDescent="0.3">
      <c r="A22" s="6"/>
    </row>
    <row r="23" spans="1:9" ht="19.5" customHeight="1" x14ac:dyDescent="0.3">
      <c r="A23" s="6"/>
    </row>
    <row r="24" spans="1:9" ht="19.5" customHeight="1" x14ac:dyDescent="0.3">
      <c r="A24" s="6"/>
    </row>
    <row r="25" spans="1:9" ht="19.5" customHeight="1" x14ac:dyDescent="0.3">
      <c r="A25" s="6"/>
    </row>
    <row r="26" spans="1:9" ht="19.5" customHeight="1" x14ac:dyDescent="0.3">
      <c r="A26" s="6"/>
    </row>
    <row r="27" spans="1:9" ht="19.5" customHeight="1" x14ac:dyDescent="0.3">
      <c r="A27" s="6"/>
    </row>
    <row r="28" spans="1:9" ht="19.5" customHeight="1" x14ac:dyDescent="0.3">
      <c r="A28" s="6"/>
    </row>
    <row r="29" spans="1:9" ht="19.5" customHeight="1" x14ac:dyDescent="0.3">
      <c r="A29" s="6"/>
    </row>
    <row r="30" spans="1:9" ht="28.5" customHeight="1" thickBot="1" x14ac:dyDescent="0.35">
      <c r="A30" s="6"/>
      <c r="C30" s="85" t="s">
        <v>20</v>
      </c>
      <c r="D30" s="85"/>
      <c r="E30" s="85"/>
      <c r="F30" s="85"/>
      <c r="G30" s="85"/>
      <c r="H30" s="85"/>
      <c r="I30" s="54" t="str">
        <f>Configurations!$E$7&amp;" - "&amp;Configurations!$E$8</f>
        <v>2018 - 2019</v>
      </c>
    </row>
    <row r="31" spans="1:9" ht="19.5" customHeight="1" thickTop="1" x14ac:dyDescent="0.3">
      <c r="A31" s="6"/>
      <c r="C31" s="56"/>
      <c r="D31" s="56"/>
      <c r="E31" s="56"/>
      <c r="F31" s="56"/>
      <c r="G31" s="56"/>
      <c r="H31" s="56"/>
      <c r="I31" s="57"/>
    </row>
    <row r="32" spans="1:9" ht="24.75" customHeight="1" x14ac:dyDescent="0.3">
      <c r="A32" s="6"/>
      <c r="C32" s="56" t="s">
        <v>22</v>
      </c>
      <c r="D32" s="56"/>
      <c r="E32" s="56"/>
      <c r="G32" s="56" t="str">
        <f>TCD_Gra_Activités!B2</f>
        <v>(vide)</v>
      </c>
      <c r="H32" s="56"/>
      <c r="I32" s="58" t="str">
        <f>Nom&amp;" "&amp; Prénom</f>
        <v>Hofmann Jonny</v>
      </c>
    </row>
    <row r="33" spans="1:1" ht="19.5" customHeight="1" x14ac:dyDescent="0.3">
      <c r="A33" s="6"/>
    </row>
    <row r="34" spans="1:1" ht="19.5" customHeight="1" x14ac:dyDescent="0.3">
      <c r="A34" s="6"/>
    </row>
    <row r="35" spans="1:1" ht="19.5" customHeight="1" x14ac:dyDescent="0.3">
      <c r="A35" s="6"/>
    </row>
    <row r="36" spans="1:1" ht="19.5" customHeight="1" x14ac:dyDescent="0.3">
      <c r="A36" s="6"/>
    </row>
    <row r="37" spans="1:1" ht="19.5" customHeight="1" x14ac:dyDescent="0.3">
      <c r="A37" s="6"/>
    </row>
    <row r="38" spans="1:1" ht="19.5" customHeight="1" x14ac:dyDescent="0.3">
      <c r="A38" s="6"/>
    </row>
    <row r="39" spans="1:1" ht="19.5" customHeight="1" x14ac:dyDescent="0.3">
      <c r="A39" s="6"/>
    </row>
    <row r="40" spans="1:1" ht="19.5" customHeight="1" x14ac:dyDescent="0.3">
      <c r="A40" s="6"/>
    </row>
    <row r="41" spans="1:1" ht="19.5" customHeight="1" x14ac:dyDescent="0.3">
      <c r="A41" s="6"/>
    </row>
    <row r="42" spans="1:1" ht="19.5" customHeight="1" x14ac:dyDescent="0.3">
      <c r="A42" s="6"/>
    </row>
    <row r="43" spans="1:1" ht="19.5" customHeight="1" x14ac:dyDescent="0.3">
      <c r="A43" s="6"/>
    </row>
    <row r="44" spans="1:1" ht="19.5" customHeight="1" x14ac:dyDescent="0.3">
      <c r="A44" s="6"/>
    </row>
    <row r="45" spans="1:1" ht="19.5" customHeight="1" x14ac:dyDescent="0.3">
      <c r="A45" s="6"/>
    </row>
    <row r="46" spans="1:1" ht="19.5" customHeight="1" x14ac:dyDescent="0.3">
      <c r="A46" s="6"/>
    </row>
    <row r="47" spans="1:1" ht="19.5" customHeight="1" x14ac:dyDescent="0.3">
      <c r="A47" s="6"/>
    </row>
    <row r="48" spans="1:1" ht="19.5" customHeight="1" x14ac:dyDescent="0.3">
      <c r="A48" s="6"/>
    </row>
    <row r="49" spans="1:9" ht="19.5" customHeight="1" x14ac:dyDescent="0.3">
      <c r="A49" s="6"/>
    </row>
    <row r="50" spans="1:9" ht="19.5" customHeight="1" x14ac:dyDescent="0.3">
      <c r="A50" s="6"/>
    </row>
    <row r="51" spans="1:9" ht="19.5" customHeight="1" x14ac:dyDescent="0.3">
      <c r="A51" s="6"/>
    </row>
    <row r="52" spans="1:9" ht="19.5" customHeight="1" x14ac:dyDescent="0.3">
      <c r="A52" s="6"/>
    </row>
    <row r="53" spans="1:9" ht="19.5" customHeight="1" x14ac:dyDescent="0.3">
      <c r="A53" s="6"/>
    </row>
    <row r="54" spans="1:9" ht="19.5" customHeight="1" x14ac:dyDescent="0.3">
      <c r="A54" s="6"/>
    </row>
    <row r="55" spans="1:9" ht="19.5" customHeight="1" x14ac:dyDescent="0.3">
      <c r="A55" s="6"/>
    </row>
    <row r="56" spans="1:9" ht="19.5" customHeight="1" x14ac:dyDescent="0.3">
      <c r="A56" s="6"/>
    </row>
    <row r="57" spans="1:9" ht="19.5" customHeight="1" x14ac:dyDescent="0.3">
      <c r="A57" s="6"/>
    </row>
    <row r="59" spans="1:9" ht="27.75" customHeight="1" thickBot="1" x14ac:dyDescent="0.35">
      <c r="C59" s="85" t="s">
        <v>20</v>
      </c>
      <c r="D59" s="85"/>
      <c r="E59" s="85"/>
      <c r="F59" s="85"/>
      <c r="G59" s="85"/>
      <c r="H59" s="85"/>
      <c r="I59" s="54" t="str">
        <f>Configurations!$E$7&amp;" - "&amp;Configurations!$E$8</f>
        <v>2018 - 2019</v>
      </c>
    </row>
    <row r="60" spans="1:9" ht="19.5" customHeight="1" thickTop="1" x14ac:dyDescent="0.3">
      <c r="C60" s="56"/>
      <c r="D60" s="56"/>
      <c r="E60" s="56"/>
      <c r="F60" s="56"/>
      <c r="G60" s="56"/>
      <c r="H60" s="56"/>
      <c r="I60" s="57"/>
    </row>
    <row r="61" spans="1:9" ht="19.5" customHeight="1" x14ac:dyDescent="0.3">
      <c r="C61" s="56" t="s">
        <v>23</v>
      </c>
      <c r="D61" s="56"/>
      <c r="E61" s="56"/>
      <c r="G61" s="56">
        <f>TCD_Gra_Activités!B31</f>
        <v>0</v>
      </c>
      <c r="H61" s="56"/>
      <c r="I61" s="58" t="str">
        <f>Nom&amp;" "&amp; Prénom</f>
        <v>Hofmann Jonny</v>
      </c>
    </row>
  </sheetData>
  <mergeCells count="3">
    <mergeCell ref="C1:H1"/>
    <mergeCell ref="C30:H30"/>
    <mergeCell ref="C59:H59"/>
  </mergeCells>
  <printOptions horizontalCentered="1" verticalCentered="1"/>
  <pageMargins left="0.70866141732283472" right="0.70866141732283472" top="0.74803149606299213" bottom="0.74803149606299213" header="0.31496062992125984" footer="0.31496062992125984"/>
  <pageSetup paperSize="9" orientation="landscape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>
    <pageSetUpPr autoPageBreaks="0" fitToPage="1"/>
  </sheetPr>
  <dimension ref="A1:Q59"/>
  <sheetViews>
    <sheetView showGridLines="0" zoomScaleNormal="100" zoomScaleSheetLayoutView="130" workbookViewId="0"/>
  </sheetViews>
  <sheetFormatPr baseColWidth="10" defaultColWidth="9.140625" defaultRowHeight="18" customHeight="1" x14ac:dyDescent="0.3"/>
  <cols>
    <col min="1" max="1" width="7.85546875" style="3" customWidth="1"/>
    <col min="2" max="2" width="3.5703125" customWidth="1"/>
    <col min="3" max="4" width="14.85546875" style="2" customWidth="1"/>
    <col min="5" max="17" width="14.85546875" customWidth="1"/>
  </cols>
  <sheetData>
    <row r="1" spans="3:11" ht="15" customHeight="1" x14ac:dyDescent="0.3"/>
    <row r="2" spans="3:11" ht="33" customHeight="1" thickBot="1" x14ac:dyDescent="0.35">
      <c r="C2" s="1" t="s">
        <v>24</v>
      </c>
      <c r="D2" s="1"/>
      <c r="E2" s="1"/>
      <c r="F2" s="1"/>
      <c r="G2" s="1"/>
      <c r="H2" s="1"/>
      <c r="I2" s="1"/>
      <c r="J2" s="1"/>
      <c r="K2" s="1"/>
    </row>
    <row r="3" spans="3:11" ht="15" customHeight="1" thickTop="1" x14ac:dyDescent="0.3"/>
    <row r="4" spans="3:11" ht="15" customHeight="1" x14ac:dyDescent="0.25">
      <c r="C4" s="86" t="s">
        <v>25</v>
      </c>
      <c r="D4" s="8" t="s">
        <v>26</v>
      </c>
      <c r="E4" s="25" t="s">
        <v>27</v>
      </c>
    </row>
    <row r="5" spans="3:11" ht="15" customHeight="1" x14ac:dyDescent="0.25">
      <c r="C5" s="86"/>
      <c r="D5" s="8" t="s">
        <v>28</v>
      </c>
      <c r="E5" s="25" t="s">
        <v>29</v>
      </c>
    </row>
    <row r="6" spans="3:11" ht="15" customHeight="1" x14ac:dyDescent="0.25">
      <c r="C6" s="81"/>
      <c r="D6" s="8"/>
      <c r="E6" s="25"/>
    </row>
    <row r="7" spans="3:11" ht="15" customHeight="1" x14ac:dyDescent="0.25">
      <c r="C7" s="86" t="s">
        <v>30</v>
      </c>
      <c r="D7" s="8" t="s">
        <v>3</v>
      </c>
      <c r="E7" s="25">
        <v>2018</v>
      </c>
    </row>
    <row r="8" spans="3:11" ht="15" customHeight="1" x14ac:dyDescent="0.25">
      <c r="C8" s="86"/>
      <c r="D8" s="8" t="s">
        <v>4</v>
      </c>
      <c r="E8" s="25">
        <v>2019</v>
      </c>
    </row>
    <row r="9" spans="3:11" ht="15" customHeight="1" x14ac:dyDescent="0.25">
      <c r="C9" s="81"/>
      <c r="D9" s="8"/>
      <c r="E9" s="25"/>
    </row>
    <row r="10" spans="3:11" ht="15" customHeight="1" x14ac:dyDescent="0.25">
      <c r="C10" s="81" t="s">
        <v>31</v>
      </c>
      <c r="D10" s="8" t="s">
        <v>3</v>
      </c>
      <c r="E10" s="26">
        <v>42736</v>
      </c>
    </row>
    <row r="11" spans="3:11" ht="15" customHeight="1" x14ac:dyDescent="0.25">
      <c r="C11" s="81"/>
      <c r="D11" s="8" t="s">
        <v>4</v>
      </c>
      <c r="E11" s="26">
        <v>43830</v>
      </c>
    </row>
    <row r="12" spans="3:11" ht="15" customHeight="1" x14ac:dyDescent="0.3"/>
    <row r="13" spans="3:11" ht="15" customHeight="1" x14ac:dyDescent="0.3"/>
    <row r="14" spans="3:11" ht="15" customHeight="1" x14ac:dyDescent="0.3"/>
    <row r="15" spans="3:11" ht="15" customHeight="1" x14ac:dyDescent="0.3"/>
    <row r="16" spans="3:11" ht="34.5" customHeight="1" thickBot="1" x14ac:dyDescent="0.35">
      <c r="C16" s="1" t="s">
        <v>32</v>
      </c>
      <c r="D16" s="1"/>
      <c r="E16" s="1"/>
      <c r="F16" s="1"/>
      <c r="G16" s="1"/>
      <c r="H16" s="1"/>
      <c r="I16" s="1"/>
      <c r="J16" s="1"/>
      <c r="K16" s="1"/>
    </row>
    <row r="17" spans="3:7" ht="15" customHeight="1" thickTop="1" thickBot="1" x14ac:dyDescent="0.35"/>
    <row r="18" spans="3:7" ht="18.75" customHeight="1" thickTop="1" thickBot="1" x14ac:dyDescent="0.35">
      <c r="C18" s="17" t="s">
        <v>33</v>
      </c>
      <c r="E18" s="17" t="s">
        <v>5</v>
      </c>
      <c r="F18" s="2"/>
      <c r="G18" s="13" t="s">
        <v>34</v>
      </c>
    </row>
    <row r="19" spans="3:7" ht="15" customHeight="1" thickTop="1" thickBot="1" x14ac:dyDescent="0.35">
      <c r="C19" s="18"/>
      <c r="E19" s="18"/>
      <c r="F19" s="2"/>
      <c r="G19" s="14"/>
    </row>
    <row r="20" spans="3:7" ht="18" customHeight="1" thickTop="1" x14ac:dyDescent="0.3">
      <c r="C20" s="8" t="s">
        <v>75</v>
      </c>
      <c r="E20" s="16" t="s">
        <v>11</v>
      </c>
      <c r="F20" s="2"/>
      <c r="G20" s="9" t="s">
        <v>10</v>
      </c>
    </row>
    <row r="21" spans="3:7" ht="18" customHeight="1" thickBot="1" x14ac:dyDescent="0.35">
      <c r="C21" s="24" t="s">
        <v>9</v>
      </c>
      <c r="E21" s="15" t="s">
        <v>40</v>
      </c>
      <c r="F21" s="2"/>
      <c r="G21" s="15" t="s">
        <v>35</v>
      </c>
    </row>
    <row r="22" spans="3:7" ht="18" customHeight="1" thickTop="1" thickBot="1" x14ac:dyDescent="0.35">
      <c r="C22" s="19" t="s">
        <v>74</v>
      </c>
      <c r="E22" s="21" t="s">
        <v>70</v>
      </c>
      <c r="F22" s="2"/>
      <c r="G22" s="16" t="s">
        <v>37</v>
      </c>
    </row>
    <row r="23" spans="3:7" ht="18" customHeight="1" thickTop="1" thickBot="1" x14ac:dyDescent="0.35">
      <c r="C23" s="19" t="s">
        <v>76</v>
      </c>
      <c r="E23" s="21" t="s">
        <v>71</v>
      </c>
      <c r="F23" s="2"/>
      <c r="G23" s="16" t="s">
        <v>38</v>
      </c>
    </row>
    <row r="24" spans="3:7" ht="18" customHeight="1" thickTop="1" thickBot="1" x14ac:dyDescent="0.35">
      <c r="C24" s="19"/>
      <c r="E24" s="10" t="s">
        <v>72</v>
      </c>
      <c r="F24" s="2"/>
      <c r="G24" s="16" t="s">
        <v>39</v>
      </c>
    </row>
    <row r="25" spans="3:7" ht="18" customHeight="1" thickTop="1" thickBot="1" x14ac:dyDescent="0.35">
      <c r="C25" s="19"/>
      <c r="E25" s="19"/>
      <c r="F25" s="2"/>
      <c r="G25" s="16" t="s">
        <v>11</v>
      </c>
    </row>
    <row r="26" spans="3:7" ht="18" customHeight="1" thickTop="1" thickBot="1" x14ac:dyDescent="0.35">
      <c r="C26" s="19"/>
      <c r="E26" s="19"/>
      <c r="F26" s="2"/>
      <c r="G26" s="15" t="s">
        <v>40</v>
      </c>
    </row>
    <row r="27" spans="3:7" ht="18" customHeight="1" thickTop="1" thickBot="1" x14ac:dyDescent="0.35">
      <c r="C27" s="19"/>
      <c r="E27" s="19"/>
      <c r="F27" s="2"/>
      <c r="G27" s="21" t="s">
        <v>70</v>
      </c>
    </row>
    <row r="28" spans="3:7" ht="18" customHeight="1" thickTop="1" thickBot="1" x14ac:dyDescent="0.35">
      <c r="C28" s="19"/>
      <c r="E28" s="19"/>
      <c r="F28" s="2"/>
      <c r="G28" s="21" t="s">
        <v>71</v>
      </c>
    </row>
    <row r="29" spans="3:7" ht="18" customHeight="1" thickTop="1" thickBot="1" x14ac:dyDescent="0.35">
      <c r="C29" s="19"/>
      <c r="E29" s="19"/>
      <c r="F29" s="12"/>
      <c r="G29" s="10" t="s">
        <v>72</v>
      </c>
    </row>
    <row r="30" spans="3:7" ht="18" customHeight="1" thickTop="1" thickBot="1" x14ac:dyDescent="0.35">
      <c r="C30" s="19"/>
      <c r="E30" s="19"/>
      <c r="F30" s="12"/>
      <c r="G30" s="10"/>
    </row>
    <row r="31" spans="3:7" ht="18" customHeight="1" thickTop="1" thickBot="1" x14ac:dyDescent="0.35">
      <c r="C31" s="19"/>
      <c r="E31" s="19"/>
      <c r="F31" s="12"/>
      <c r="G31" s="10"/>
    </row>
    <row r="32" spans="3:7" ht="18" customHeight="1" thickTop="1" thickBot="1" x14ac:dyDescent="0.35">
      <c r="C32" s="19"/>
      <c r="E32" s="19"/>
      <c r="F32" s="12"/>
      <c r="G32" s="21" t="s">
        <v>12</v>
      </c>
    </row>
    <row r="33" spans="3:17" ht="18" customHeight="1" thickTop="1" thickBot="1" x14ac:dyDescent="0.35">
      <c r="C33" s="8"/>
      <c r="E33" s="19"/>
      <c r="F33" s="12"/>
      <c r="G33" s="10" t="s">
        <v>41</v>
      </c>
    </row>
    <row r="34" spans="3:17" ht="18" customHeight="1" thickTop="1" thickBot="1" x14ac:dyDescent="0.35">
      <c r="E34" s="19" t="s">
        <v>42</v>
      </c>
      <c r="F34" s="12"/>
      <c r="G34" s="10" t="s">
        <v>43</v>
      </c>
    </row>
    <row r="35" spans="3:17" ht="18" customHeight="1" thickTop="1" x14ac:dyDescent="0.3">
      <c r="C35" s="18"/>
      <c r="D35" s="12"/>
      <c r="E35" s="18"/>
      <c r="F35" s="11"/>
      <c r="G35" s="18"/>
    </row>
    <row r="36" spans="3:17" ht="18" customHeight="1" thickBot="1" x14ac:dyDescent="0.25">
      <c r="C36" s="87" t="s">
        <v>44</v>
      </c>
      <c r="D36" s="88"/>
      <c r="E36" s="87"/>
      <c r="F36" s="88"/>
      <c r="G36" s="87"/>
      <c r="H36" s="88"/>
      <c r="I36" s="87"/>
      <c r="J36" s="88"/>
      <c r="K36" s="87"/>
      <c r="L36" s="88"/>
      <c r="M36" s="87"/>
      <c r="N36" s="88"/>
      <c r="O36" s="87"/>
      <c r="P36" s="88"/>
      <c r="Q36" s="82"/>
    </row>
    <row r="37" spans="3:17" ht="18" customHeight="1" thickTop="1" thickBot="1" x14ac:dyDescent="0.35">
      <c r="C37" s="20"/>
    </row>
    <row r="38" spans="3:17" ht="18" customHeight="1" thickTop="1" thickBot="1" x14ac:dyDescent="0.35">
      <c r="C38" s="22" t="str">
        <f>$E20</f>
        <v>Documentation</v>
      </c>
      <c r="D38" s="22" t="str">
        <f>$E21</f>
        <v>Evaluation</v>
      </c>
      <c r="E38" s="22" t="str">
        <f>$E22</f>
        <v>Programmation automate</v>
      </c>
      <c r="F38" s="22" t="str">
        <f>$E23</f>
        <v>Programmation C#</v>
      </c>
      <c r="G38" s="22" t="str">
        <f>$E24</f>
        <v>Base de donnée</v>
      </c>
      <c r="H38" s="22">
        <f>$E25</f>
        <v>0</v>
      </c>
      <c r="I38" s="22">
        <f>$E26</f>
        <v>0</v>
      </c>
      <c r="J38" s="22">
        <f>$E27</f>
        <v>0</v>
      </c>
      <c r="K38" s="22">
        <f>$E28</f>
        <v>0</v>
      </c>
      <c r="L38" s="22">
        <f>$E29</f>
        <v>0</v>
      </c>
      <c r="M38" s="22">
        <f>$E30</f>
        <v>0</v>
      </c>
      <c r="N38" s="22">
        <f>$E31</f>
        <v>0</v>
      </c>
      <c r="O38" s="22">
        <f>$E32</f>
        <v>0</v>
      </c>
      <c r="P38" s="22">
        <f>$E33</f>
        <v>0</v>
      </c>
      <c r="Q38" s="22" t="str">
        <f>$E34</f>
        <v>Portes ouvertes</v>
      </c>
    </row>
    <row r="39" spans="3:17" ht="7.5" customHeight="1" x14ac:dyDescent="0.3">
      <c r="C39" s="61"/>
      <c r="D39" s="62"/>
      <c r="E39" s="62"/>
      <c r="F39" s="62"/>
      <c r="G39" s="62"/>
      <c r="H39" s="62"/>
      <c r="I39" s="62"/>
      <c r="J39" s="62"/>
      <c r="K39" s="62"/>
      <c r="L39" s="62"/>
      <c r="M39" s="62"/>
      <c r="N39" s="62"/>
      <c r="O39" s="62"/>
      <c r="P39" s="62"/>
      <c r="Q39" s="62"/>
    </row>
    <row r="40" spans="3:17" ht="18" customHeight="1" thickBot="1" x14ac:dyDescent="0.35">
      <c r="C40" s="61" t="s">
        <v>77</v>
      </c>
      <c r="D40" s="63"/>
      <c r="E40" s="63" t="s">
        <v>81</v>
      </c>
      <c r="F40" s="63" t="s">
        <v>85</v>
      </c>
      <c r="G40" s="63" t="s">
        <v>91</v>
      </c>
      <c r="H40" s="63" t="s">
        <v>45</v>
      </c>
      <c r="I40" s="63" t="s">
        <v>46</v>
      </c>
      <c r="J40" s="63"/>
      <c r="K40" s="63"/>
      <c r="L40" s="63"/>
      <c r="M40" s="63"/>
      <c r="N40" s="63"/>
      <c r="O40" s="63"/>
      <c r="P40" s="63"/>
      <c r="Q40" s="63"/>
    </row>
    <row r="41" spans="3:17" ht="18" customHeight="1" thickTop="1" thickBot="1" x14ac:dyDescent="0.35">
      <c r="C41" s="64" t="s">
        <v>73</v>
      </c>
      <c r="D41" s="61"/>
      <c r="E41" s="65" t="s">
        <v>82</v>
      </c>
      <c r="F41" s="65" t="s">
        <v>86</v>
      </c>
      <c r="G41" s="66" t="s">
        <v>92</v>
      </c>
      <c r="H41" s="66" t="s">
        <v>47</v>
      </c>
      <c r="I41" s="65"/>
      <c r="J41" s="65"/>
      <c r="K41" s="65"/>
      <c r="L41" s="65"/>
      <c r="M41" s="65"/>
      <c r="N41" s="65"/>
      <c r="O41" s="65"/>
      <c r="P41" s="65"/>
      <c r="Q41" s="65"/>
    </row>
    <row r="42" spans="3:17" ht="18" customHeight="1" thickTop="1" thickBot="1" x14ac:dyDescent="0.35">
      <c r="C42" s="67" t="s">
        <v>78</v>
      </c>
      <c r="D42" s="61"/>
      <c r="E42" s="65" t="s">
        <v>83</v>
      </c>
      <c r="F42" s="65" t="s">
        <v>87</v>
      </c>
      <c r="G42" s="66"/>
      <c r="H42" s="66" t="s">
        <v>48</v>
      </c>
      <c r="I42" s="65"/>
      <c r="J42" s="65"/>
      <c r="K42" s="65"/>
      <c r="L42" s="65"/>
      <c r="M42" s="65"/>
      <c r="N42" s="65"/>
      <c r="O42" s="65"/>
      <c r="P42" s="65"/>
      <c r="Q42" s="65"/>
    </row>
    <row r="43" spans="3:17" ht="18" customHeight="1" thickTop="1" thickBot="1" x14ac:dyDescent="0.35">
      <c r="C43" s="61" t="s">
        <v>79</v>
      </c>
      <c r="D43" s="61"/>
      <c r="E43" s="65" t="s">
        <v>84</v>
      </c>
      <c r="F43" s="65" t="s">
        <v>88</v>
      </c>
      <c r="G43" s="66"/>
      <c r="H43" s="66" t="s">
        <v>49</v>
      </c>
      <c r="I43" s="65"/>
      <c r="J43" s="65"/>
      <c r="K43" s="65"/>
      <c r="L43" s="65"/>
      <c r="M43" s="65"/>
      <c r="N43" s="65"/>
      <c r="O43" s="65"/>
      <c r="P43" s="65"/>
      <c r="Q43" s="65"/>
    </row>
    <row r="44" spans="3:17" ht="18" customHeight="1" thickTop="1" thickBot="1" x14ac:dyDescent="0.35">
      <c r="C44" s="61" t="s">
        <v>80</v>
      </c>
      <c r="D44" s="61"/>
      <c r="E44" s="65"/>
      <c r="F44" s="65" t="s">
        <v>89</v>
      </c>
      <c r="G44" s="66"/>
      <c r="H44" s="66" t="s">
        <v>50</v>
      </c>
      <c r="I44" s="65"/>
      <c r="J44" s="65"/>
      <c r="K44" s="65"/>
      <c r="L44" s="65"/>
      <c r="M44" s="65"/>
      <c r="N44" s="65"/>
      <c r="O44" s="65"/>
      <c r="P44" s="65"/>
      <c r="Q44" s="65"/>
    </row>
    <row r="45" spans="3:17" ht="18" customHeight="1" thickTop="1" x14ac:dyDescent="0.3">
      <c r="C45" s="61"/>
      <c r="D45" s="61"/>
      <c r="E45" s="65"/>
      <c r="F45" s="65" t="s">
        <v>90</v>
      </c>
      <c r="G45" s="68"/>
      <c r="H45" s="66" t="s">
        <v>51</v>
      </c>
      <c r="I45" s="65"/>
      <c r="J45" s="65"/>
      <c r="K45" s="65"/>
      <c r="L45" s="65"/>
      <c r="M45" s="65"/>
      <c r="N45" s="65"/>
      <c r="O45" s="65"/>
      <c r="P45" s="65"/>
      <c r="Q45" s="65"/>
    </row>
    <row r="46" spans="3:17" ht="18" customHeight="1" x14ac:dyDescent="0.3">
      <c r="C46" s="61"/>
      <c r="D46" s="61"/>
      <c r="E46" s="65"/>
      <c r="F46" s="65" t="s">
        <v>84</v>
      </c>
      <c r="G46" s="68"/>
      <c r="H46" s="68" t="s">
        <v>52</v>
      </c>
      <c r="I46" s="65"/>
      <c r="J46" s="65"/>
      <c r="K46" s="65"/>
      <c r="L46" s="65"/>
      <c r="M46" s="65"/>
      <c r="N46" s="65"/>
      <c r="O46" s="65"/>
      <c r="P46" s="65"/>
      <c r="Q46" s="65"/>
    </row>
    <row r="47" spans="3:17" ht="18" customHeight="1" x14ac:dyDescent="0.3">
      <c r="C47" s="61"/>
      <c r="D47" s="61"/>
      <c r="E47" s="65"/>
      <c r="F47" s="65"/>
      <c r="G47" s="68"/>
      <c r="H47" s="68" t="s">
        <v>53</v>
      </c>
      <c r="I47" s="65"/>
      <c r="J47" s="65"/>
      <c r="K47" s="65"/>
      <c r="L47" s="65"/>
      <c r="M47" s="65"/>
      <c r="N47" s="65"/>
      <c r="O47" s="65"/>
      <c r="P47" s="65"/>
      <c r="Q47" s="65"/>
    </row>
    <row r="48" spans="3:17" ht="18" customHeight="1" thickBot="1" x14ac:dyDescent="0.35">
      <c r="C48" s="61"/>
      <c r="D48" s="61"/>
      <c r="E48" s="65"/>
      <c r="F48" s="65"/>
      <c r="G48" s="68"/>
      <c r="H48" s="68" t="s">
        <v>54</v>
      </c>
      <c r="I48" s="65"/>
      <c r="J48" s="65"/>
      <c r="K48" s="65"/>
      <c r="L48" s="65"/>
      <c r="M48" s="65"/>
      <c r="N48" s="65"/>
      <c r="O48" s="65"/>
      <c r="P48" s="65"/>
      <c r="Q48" s="65"/>
    </row>
    <row r="49" spans="3:17" ht="18" customHeight="1" thickTop="1" thickBot="1" x14ac:dyDescent="0.35">
      <c r="C49" s="61"/>
      <c r="D49" s="61"/>
      <c r="E49" s="65"/>
      <c r="F49" s="65"/>
      <c r="G49" s="69"/>
      <c r="H49" s="68" t="s">
        <v>55</v>
      </c>
      <c r="I49" s="65"/>
      <c r="J49" s="65"/>
      <c r="K49" s="65"/>
      <c r="L49" s="65"/>
      <c r="M49" s="65"/>
      <c r="N49" s="65"/>
      <c r="O49" s="65"/>
      <c r="P49" s="65"/>
      <c r="Q49" s="65"/>
    </row>
    <row r="50" spans="3:17" ht="18" customHeight="1" thickTop="1" thickBot="1" x14ac:dyDescent="0.35">
      <c r="C50" s="61"/>
      <c r="D50" s="61"/>
      <c r="E50" s="65"/>
      <c r="F50" s="65"/>
      <c r="G50" s="69"/>
      <c r="H50" s="69" t="s">
        <v>56</v>
      </c>
      <c r="I50" s="65"/>
      <c r="J50" s="65"/>
      <c r="K50" s="65"/>
      <c r="L50" s="65"/>
      <c r="M50" s="65"/>
      <c r="N50" s="65"/>
      <c r="O50" s="65"/>
      <c r="P50" s="65"/>
      <c r="Q50" s="65"/>
    </row>
    <row r="51" spans="3:17" ht="18" customHeight="1" thickTop="1" thickBot="1" x14ac:dyDescent="0.35">
      <c r="C51" s="61"/>
      <c r="D51" s="61"/>
      <c r="E51" s="65"/>
      <c r="F51" s="65"/>
      <c r="G51" s="69"/>
      <c r="H51" s="69" t="s">
        <v>57</v>
      </c>
      <c r="I51" s="65"/>
      <c r="J51" s="65"/>
      <c r="K51" s="65"/>
      <c r="L51" s="65"/>
      <c r="M51" s="65"/>
      <c r="N51" s="65"/>
      <c r="O51" s="65"/>
      <c r="P51" s="65"/>
      <c r="Q51" s="65"/>
    </row>
    <row r="52" spans="3:17" ht="18" customHeight="1" thickTop="1" x14ac:dyDescent="0.3">
      <c r="C52" s="61"/>
      <c r="D52" s="61"/>
      <c r="E52" s="65"/>
      <c r="F52" s="65"/>
      <c r="G52" s="65"/>
      <c r="H52" s="69" t="s">
        <v>58</v>
      </c>
      <c r="I52" s="65"/>
      <c r="J52" s="65"/>
      <c r="K52" s="65"/>
      <c r="L52" s="65"/>
      <c r="M52" s="65"/>
      <c r="N52" s="65"/>
      <c r="O52" s="65"/>
      <c r="P52" s="65"/>
      <c r="Q52" s="65"/>
    </row>
    <row r="53" spans="3:17" ht="18" customHeight="1" x14ac:dyDescent="0.3">
      <c r="C53" s="61"/>
      <c r="D53" s="61"/>
      <c r="E53" s="65"/>
      <c r="F53" s="65"/>
      <c r="G53" s="65"/>
      <c r="H53" s="65" t="s">
        <v>59</v>
      </c>
      <c r="I53" s="65"/>
      <c r="J53" s="65"/>
      <c r="K53" s="65"/>
      <c r="L53" s="65"/>
      <c r="M53" s="65"/>
      <c r="N53" s="65"/>
      <c r="O53" s="65"/>
      <c r="P53" s="65"/>
      <c r="Q53" s="65"/>
    </row>
    <row r="54" spans="3:17" ht="18" customHeight="1" x14ac:dyDescent="0.3">
      <c r="C54" s="61"/>
      <c r="D54" s="61"/>
      <c r="E54" s="65"/>
      <c r="F54" s="65"/>
      <c r="G54" s="65"/>
      <c r="H54" s="65" t="s">
        <v>60</v>
      </c>
      <c r="I54" s="65"/>
      <c r="J54" s="65"/>
      <c r="K54" s="65"/>
      <c r="L54" s="65"/>
      <c r="M54" s="65"/>
      <c r="N54" s="65"/>
      <c r="O54" s="65"/>
      <c r="P54" s="65"/>
      <c r="Q54" s="65"/>
    </row>
    <row r="55" spans="3:17" ht="18" customHeight="1" x14ac:dyDescent="0.3">
      <c r="C55" s="61"/>
      <c r="D55" s="61"/>
      <c r="E55" s="65"/>
      <c r="F55" s="65"/>
      <c r="G55" s="65"/>
      <c r="H55" s="65"/>
      <c r="I55" s="65"/>
      <c r="J55" s="65"/>
      <c r="K55" s="65"/>
      <c r="L55" s="65"/>
      <c r="M55" s="65"/>
      <c r="N55" s="65"/>
      <c r="O55" s="65"/>
      <c r="P55" s="65"/>
      <c r="Q55" s="65"/>
    </row>
    <row r="56" spans="3:17" ht="18" customHeight="1" x14ac:dyDescent="0.3">
      <c r="C56" s="61"/>
      <c r="D56" s="61"/>
      <c r="E56" s="65"/>
      <c r="F56" s="65"/>
      <c r="G56" s="65"/>
      <c r="H56" s="65" t="s">
        <v>61</v>
      </c>
      <c r="I56" s="65"/>
      <c r="J56" s="65"/>
      <c r="K56" s="65"/>
      <c r="L56" s="65"/>
      <c r="M56" s="65"/>
      <c r="N56" s="65"/>
      <c r="O56" s="65"/>
      <c r="P56" s="65"/>
      <c r="Q56" s="65"/>
    </row>
    <row r="57" spans="3:17" ht="18" customHeight="1" x14ac:dyDescent="0.3">
      <c r="C57" s="61"/>
      <c r="D57" s="61"/>
      <c r="E57" s="65" t="s">
        <v>62</v>
      </c>
      <c r="F57" s="65"/>
      <c r="G57" s="65"/>
      <c r="H57" s="65" t="s">
        <v>63</v>
      </c>
      <c r="I57" s="65"/>
      <c r="J57" s="65"/>
      <c r="K57" s="65"/>
      <c r="L57" s="65"/>
      <c r="M57" s="65"/>
      <c r="N57" s="65"/>
      <c r="O57" s="65"/>
      <c r="P57" s="65"/>
      <c r="Q57" s="65"/>
    </row>
    <row r="58" spans="3:17" ht="18" customHeight="1" thickBot="1" x14ac:dyDescent="0.35">
      <c r="C58" s="61" t="s">
        <v>64</v>
      </c>
      <c r="D58" s="61" t="s">
        <v>64</v>
      </c>
      <c r="E58" s="61" t="s">
        <v>64</v>
      </c>
      <c r="F58" s="61" t="s">
        <v>64</v>
      </c>
      <c r="G58" s="61" t="s">
        <v>64</v>
      </c>
      <c r="H58" s="61" t="s">
        <v>64</v>
      </c>
      <c r="I58" s="61" t="s">
        <v>64</v>
      </c>
      <c r="J58" s="61" t="s">
        <v>64</v>
      </c>
      <c r="K58" s="61" t="s">
        <v>64</v>
      </c>
      <c r="L58" s="61" t="s">
        <v>64</v>
      </c>
      <c r="M58" s="61" t="s">
        <v>64</v>
      </c>
      <c r="N58" s="61" t="s">
        <v>64</v>
      </c>
      <c r="O58" s="61" t="s">
        <v>64</v>
      </c>
      <c r="P58" s="61" t="s">
        <v>64</v>
      </c>
      <c r="Q58" s="61" t="s">
        <v>64</v>
      </c>
    </row>
    <row r="59" spans="3:17" ht="18" customHeight="1" thickTop="1" x14ac:dyDescent="0.25">
      <c r="C59" s="18"/>
      <c r="D59" s="18"/>
      <c r="E59" s="18"/>
      <c r="F59" s="18"/>
      <c r="G59" s="18"/>
      <c r="H59" s="18"/>
      <c r="I59" s="18"/>
      <c r="J59" s="18"/>
      <c r="K59" s="18"/>
      <c r="L59" s="18"/>
      <c r="M59" s="18"/>
      <c r="N59" s="18"/>
      <c r="O59" s="18"/>
      <c r="P59" s="18"/>
      <c r="Q59" s="18"/>
    </row>
  </sheetData>
  <sortState xmlns:xlrd2="http://schemas.microsoft.com/office/spreadsheetml/2017/richdata2" ref="C40:C45">
    <sortCondition ref="C40:C45"/>
  </sortState>
  <mergeCells count="9">
    <mergeCell ref="C4:C5"/>
    <mergeCell ref="M36:N36"/>
    <mergeCell ref="O36:P36"/>
    <mergeCell ref="C7:C8"/>
    <mergeCell ref="C36:D36"/>
    <mergeCell ref="E36:F36"/>
    <mergeCell ref="G36:H36"/>
    <mergeCell ref="I36:J36"/>
    <mergeCell ref="K36:L36"/>
  </mergeCells>
  <printOptions horizontalCentered="1"/>
  <pageMargins left="0.7" right="0.7" top="0.75" bottom="0.75" header="0.3" footer="0.3"/>
  <pageSetup scale="87" fitToHeight="0" orientation="portrait" horizont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3"/>
  <dimension ref="A3:D6"/>
  <sheetViews>
    <sheetView workbookViewId="0">
      <selection activeCell="A6" sqref="A6"/>
    </sheetView>
  </sheetViews>
  <sheetFormatPr baseColWidth="10" defaultColWidth="11.42578125" defaultRowHeight="14.25" x14ac:dyDescent="0.3"/>
  <cols>
    <col min="1" max="1" width="12.5703125" bestFit="1" customWidth="1"/>
    <col min="2" max="2" width="20" bestFit="1" customWidth="1"/>
    <col min="3" max="3" width="10.28515625" bestFit="1" customWidth="1"/>
    <col min="4" max="4" width="11.7109375" bestFit="1" customWidth="1"/>
  </cols>
  <sheetData>
    <row r="3" spans="1:4" x14ac:dyDescent="0.3">
      <c r="A3" s="46" t="s">
        <v>5</v>
      </c>
      <c r="B3" t="s">
        <v>15</v>
      </c>
    </row>
    <row r="5" spans="1:4" x14ac:dyDescent="0.3">
      <c r="A5" s="46" t="s">
        <v>2</v>
      </c>
      <c r="B5" s="46" t="s">
        <v>6</v>
      </c>
      <c r="C5" s="46" t="s">
        <v>7</v>
      </c>
      <c r="D5" t="s">
        <v>65</v>
      </c>
    </row>
    <row r="6" spans="1:4" x14ac:dyDescent="0.3">
      <c r="A6" t="s">
        <v>19</v>
      </c>
      <c r="D6" s="47"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5"/>
  <dimension ref="A2:C7"/>
  <sheetViews>
    <sheetView workbookViewId="0">
      <selection activeCell="F41" sqref="F41"/>
    </sheetView>
  </sheetViews>
  <sheetFormatPr baseColWidth="10" defaultColWidth="11.42578125" defaultRowHeight="14.25" x14ac:dyDescent="0.3"/>
  <cols>
    <col min="1" max="1" width="15" bestFit="1" customWidth="1"/>
    <col min="2" max="2" width="13.28515625" bestFit="1" customWidth="1"/>
    <col min="3" max="3" width="12.140625" bestFit="1" customWidth="1"/>
    <col min="4" max="4" width="12.28515625" bestFit="1" customWidth="1"/>
    <col min="5" max="6" width="7.5703125" customWidth="1"/>
    <col min="7" max="7" width="10.28515625" customWidth="1"/>
    <col min="8" max="8" width="12.140625" bestFit="1" customWidth="1"/>
    <col min="9" max="9" width="10.28515625" bestFit="1" customWidth="1"/>
    <col min="10" max="10" width="12.140625" bestFit="1" customWidth="1"/>
  </cols>
  <sheetData>
    <row r="2" spans="1:3" x14ac:dyDescent="0.3">
      <c r="A2" s="46" t="s">
        <v>5</v>
      </c>
      <c r="B2" t="s">
        <v>66</v>
      </c>
    </row>
    <row r="4" spans="1:3" x14ac:dyDescent="0.3">
      <c r="A4" s="50" t="s">
        <v>67</v>
      </c>
      <c r="B4" s="50" t="s">
        <v>34</v>
      </c>
      <c r="C4" s="7"/>
    </row>
    <row r="5" spans="1:3" x14ac:dyDescent="0.3">
      <c r="A5" s="50" t="s">
        <v>68</v>
      </c>
      <c r="B5" s="51" t="s">
        <v>66</v>
      </c>
      <c r="C5" s="51" t="s">
        <v>19</v>
      </c>
    </row>
    <row r="6" spans="1:3" x14ac:dyDescent="0.3">
      <c r="A6" s="9" t="s">
        <v>66</v>
      </c>
      <c r="B6" s="47">
        <v>0</v>
      </c>
      <c r="C6" s="47">
        <v>0</v>
      </c>
    </row>
    <row r="7" spans="1:3" x14ac:dyDescent="0.3">
      <c r="A7" s="9" t="s">
        <v>19</v>
      </c>
      <c r="B7" s="47">
        <v>0</v>
      </c>
      <c r="C7" s="47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4"/>
  <dimension ref="A3:C7"/>
  <sheetViews>
    <sheetView workbookViewId="0">
      <selection activeCell="F41" sqref="F41"/>
    </sheetView>
  </sheetViews>
  <sheetFormatPr baseColWidth="10" defaultColWidth="11.42578125" defaultRowHeight="14.25" x14ac:dyDescent="0.3"/>
  <cols>
    <col min="1" max="1" width="12.5703125" bestFit="1" customWidth="1"/>
    <col min="2" max="2" width="8.140625" bestFit="1" customWidth="1"/>
    <col min="3" max="3" width="14.28515625" bestFit="1" customWidth="1"/>
    <col min="4" max="4" width="19.140625" customWidth="1"/>
    <col min="5" max="5" width="19.140625" bestFit="1" customWidth="1"/>
  </cols>
  <sheetData>
    <row r="3" spans="1:3" x14ac:dyDescent="0.3">
      <c r="A3" s="46" t="s">
        <v>6</v>
      </c>
      <c r="B3" t="s">
        <v>16</v>
      </c>
    </row>
    <row r="4" spans="1:3" x14ac:dyDescent="0.3">
      <c r="A4" s="46" t="s">
        <v>17</v>
      </c>
      <c r="B4" t="s">
        <v>16</v>
      </c>
    </row>
    <row r="6" spans="1:3" x14ac:dyDescent="0.3">
      <c r="A6" s="46" t="s">
        <v>5</v>
      </c>
      <c r="B6" s="46" t="s">
        <v>2</v>
      </c>
      <c r="C6" t="s">
        <v>69</v>
      </c>
    </row>
    <row r="7" spans="1:3" x14ac:dyDescent="0.3">
      <c r="A7" t="s">
        <v>19</v>
      </c>
      <c r="C7" s="47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289FEB717DFFF418BFE1442F7C31802" ma:contentTypeVersion="4" ma:contentTypeDescription="Crée un document." ma:contentTypeScope="" ma:versionID="727ef34baab2de42625fa24148dfc034">
  <xsd:schema xmlns:xsd="http://www.w3.org/2001/XMLSchema" xmlns:xs="http://www.w3.org/2001/XMLSchema" xmlns:p="http://schemas.microsoft.com/office/2006/metadata/properties" xmlns:ns2="986ec48b-8b63-4faf-9c8b-ec296fe44942" xmlns:ns3="ae1d2585-faec-4d32-8353-db54f88a28b3" targetNamespace="http://schemas.microsoft.com/office/2006/metadata/properties" ma:root="true" ma:fieldsID="44ea7da0bb7c62d54287573160c2b894" ns2:_="" ns3:_="">
    <xsd:import namespace="986ec48b-8b63-4faf-9c8b-ec296fe44942"/>
    <xsd:import namespace="ae1d2585-faec-4d32-8353-db54f88a28b3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86ec48b-8b63-4faf-9c8b-ec296fe44942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Partagé avec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Partagé avec détails" ma:description="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e1d2585-faec-4d32-8353-db54f88a28b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C73CEB9-10B1-4F4B-A14E-739A81B25F12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AC0CB1E2-AE2C-4B72-9E78-67C1A40A86D6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60E15B34-C946-484F-8F3E-613C1BB45D5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86ec48b-8b63-4faf-9c8b-ec296fe44942"/>
    <ds:schemaRef ds:uri="ae1d2585-faec-4d32-8353-db54f88a28b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29</vt:i4>
      </vt:variant>
    </vt:vector>
  </HeadingPairs>
  <TitlesOfParts>
    <vt:vector size="36" baseType="lpstr">
      <vt:lpstr>Saisie</vt:lpstr>
      <vt:lpstr>Journal</vt:lpstr>
      <vt:lpstr>Graphiques</vt:lpstr>
      <vt:lpstr>Configurations</vt:lpstr>
      <vt:lpstr>TCD_Gra_Tâches</vt:lpstr>
      <vt:lpstr>TCD_Gra_Activités</vt:lpstr>
      <vt:lpstr>TCD_Absences</vt:lpstr>
      <vt:lpstr>Activités</vt:lpstr>
      <vt:lpstr>Divers</vt:lpstr>
      <vt:lpstr>Journal!Impression_des_titres</vt:lpstr>
      <vt:lpstr>Laboratoire</vt:lpstr>
      <vt:lpstr>MAT_01</vt:lpstr>
      <vt:lpstr>MAT_02</vt:lpstr>
      <vt:lpstr>MAT_02fff</vt:lpstr>
      <vt:lpstr>MAT_03</vt:lpstr>
      <vt:lpstr>MAT_04</vt:lpstr>
      <vt:lpstr>MAT_05</vt:lpstr>
      <vt:lpstr>MAT_06</vt:lpstr>
      <vt:lpstr>Matières</vt:lpstr>
      <vt:lpstr>Module_0</vt:lpstr>
      <vt:lpstr>Module_1</vt:lpstr>
      <vt:lpstr>Module_2</vt:lpstr>
      <vt:lpstr>Module_3</vt:lpstr>
      <vt:lpstr>Module_4</vt:lpstr>
      <vt:lpstr>Module_5</vt:lpstr>
      <vt:lpstr>Module_6</vt:lpstr>
      <vt:lpstr>Nom</vt:lpstr>
      <vt:lpstr>Portes_ouvertes</vt:lpstr>
      <vt:lpstr>Prénom</vt:lpstr>
      <vt:lpstr>Satge_BAT</vt:lpstr>
      <vt:lpstr>Stage</vt:lpstr>
      <vt:lpstr>Stage_BAT</vt:lpstr>
      <vt:lpstr>Type_heure</vt:lpstr>
      <vt:lpstr>Graphiques!Zone_d_impression</vt:lpstr>
      <vt:lpstr>Journal!Zone_d_impression</vt:lpstr>
      <vt:lpstr>Saisie!Zone_d_impression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revision/>
  <dcterms:created xsi:type="dcterms:W3CDTF">2015-11-27T08:33:31Z</dcterms:created>
  <dcterms:modified xsi:type="dcterms:W3CDTF">2019-09-02T10:27:09Z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TemplateID">
    <vt:lpwstr>TC031076439991</vt:lpwstr>
  </property>
  <property fmtid="{D5CDD505-2E9C-101B-9397-08002B2CF9AE}" pid="3" name="ContentTypeId">
    <vt:lpwstr>0x010100E289FEB717DFFF418BFE1442F7C31802</vt:lpwstr>
  </property>
</Properties>
</file>